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vlaamseoverheid-my.sharepoint.com/personal/paul_zeebroek_vlaanderen_be/Documents/VEKA/Webpagina's_communicatie/20260821_wijzigingen/"/>
    </mc:Choice>
  </mc:AlternateContent>
  <xr:revisionPtr revIDLastSave="0" documentId="8_{4E20611E-AF93-47F4-8681-B53016A7F7A6}" xr6:coauthVersionLast="47" xr6:coauthVersionMax="47" xr10:uidLastSave="{00000000-0000-0000-0000-000000000000}"/>
  <workbookProtection workbookAlgorithmName="SHA-512" workbookHashValue="GZ+bLGBdA+FG+9R+akDyMoIeoH/3U0NhXJtgg4t2zz4rxtuGpMqNYlNX+EsNfw9ky26lSHZ7Zt9+uegOenZ+kg==" workbookSaltValue="kMxvukB8TH08vv5vbHLTPg==" workbookSpinCount="100000" lockStructure="1"/>
  <bookViews>
    <workbookView xWindow="-108" yWindow="-108" windowWidth="23256" windowHeight="13896" xr2:uid="{00000000-000D-0000-FFFF-FFFF00000000}"/>
  </bookViews>
  <sheets>
    <sheet name="Gegevens" sheetId="3" r:id="rId1"/>
    <sheet name="TVT-berekening" sheetId="2" r:id="rId2"/>
    <sheet name="IRR-berekening" sheetId="1" r:id="rId3"/>
    <sheet name="versiebeheer" sheetId="4" state="hidden" r:id="rId4"/>
  </sheets>
  <definedNames>
    <definedName name="_xlnm.Print_Area" localSheetId="2">'IRR-berekening'!$A$1:$T$82</definedName>
    <definedName name="IRR">Gegevens!$I$36</definedName>
    <definedName name="Levensduur">Gegevens!$E$18</definedName>
    <definedName name="TVT">Gegevens!$D$36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2" i="4"/>
  <c r="E15" i="3"/>
  <c r="D11" i="1" s="1"/>
  <c r="E58" i="1" s="1"/>
  <c r="F23" i="3"/>
  <c r="B24" i="3"/>
  <c r="G21" i="3"/>
  <c r="D11" i="2" l="1"/>
  <c r="E40" i="2" s="1"/>
  <c r="C12" i="1"/>
  <c r="C10" i="1"/>
  <c r="C9" i="1"/>
  <c r="C8" i="1"/>
  <c r="C7" i="1"/>
  <c r="C6" i="1"/>
  <c r="C5" i="1"/>
  <c r="D12" i="1"/>
  <c r="E10" i="1"/>
  <c r="D10" i="1"/>
  <c r="E9" i="1"/>
  <c r="D9" i="1"/>
  <c r="E8" i="1"/>
  <c r="D8" i="1"/>
  <c r="E7" i="1"/>
  <c r="D7" i="1"/>
  <c r="E6" i="1"/>
  <c r="D6" i="1"/>
  <c r="E5" i="1"/>
  <c r="D5" i="1"/>
  <c r="D12" i="2"/>
  <c r="E10" i="2"/>
  <c r="D10" i="2"/>
  <c r="E9" i="2"/>
  <c r="D9" i="2"/>
  <c r="E8" i="2"/>
  <c r="D8" i="2"/>
  <c r="E7" i="2"/>
  <c r="D7" i="2"/>
  <c r="E6" i="2"/>
  <c r="D6" i="2"/>
  <c r="E5" i="2"/>
  <c r="D5" i="2"/>
  <c r="C12" i="2"/>
  <c r="C10" i="2"/>
  <c r="C9" i="2"/>
  <c r="C8" i="2"/>
  <c r="C7" i="2"/>
  <c r="C6" i="2"/>
  <c r="C5" i="2"/>
  <c r="F28" i="3" l="1"/>
  <c r="G27" i="3" l="1"/>
  <c r="G28" i="3" s="1"/>
  <c r="H27" i="3" l="1"/>
  <c r="H28" i="3" s="1"/>
  <c r="F69" i="1"/>
  <c r="G69" i="1" s="1"/>
  <c r="H69" i="1" s="1"/>
  <c r="I69" i="1" s="1"/>
  <c r="J69" i="1" s="1"/>
  <c r="K69" i="1" s="1"/>
  <c r="L69" i="1" s="1"/>
  <c r="M69" i="1" s="1"/>
  <c r="N69" i="1" s="1"/>
  <c r="O69" i="1" s="1"/>
  <c r="P69" i="1" s="1"/>
  <c r="Q69" i="1" s="1"/>
  <c r="R69" i="1" s="1"/>
  <c r="S69" i="1" s="1"/>
  <c r="T69" i="1" s="1"/>
  <c r="U69" i="1" s="1"/>
  <c r="V69" i="1" s="1"/>
  <c r="W69" i="1" s="1"/>
  <c r="X69" i="1" s="1"/>
  <c r="Y69" i="1" s="1"/>
  <c r="Z69" i="1" s="1"/>
  <c r="AA69" i="1" s="1"/>
  <c r="AB69" i="1" s="1"/>
  <c r="AC69" i="1" s="1"/>
  <c r="AD69" i="1" s="1"/>
  <c r="F52" i="1"/>
  <c r="G52" i="1" s="1"/>
  <c r="H52" i="1" s="1"/>
  <c r="I52" i="1" s="1"/>
  <c r="J52" i="1" s="1"/>
  <c r="K52" i="1" s="1"/>
  <c r="L52" i="1" s="1"/>
  <c r="M52" i="1" s="1"/>
  <c r="N52" i="1" s="1"/>
  <c r="O52" i="1" s="1"/>
  <c r="P52" i="1" s="1"/>
  <c r="P59" i="1" s="1"/>
  <c r="F33" i="1"/>
  <c r="G33" i="1" s="1"/>
  <c r="H33" i="1" s="1"/>
  <c r="I33" i="1" s="1"/>
  <c r="J33" i="1" s="1"/>
  <c r="K33" i="1" s="1"/>
  <c r="L33" i="1" s="1"/>
  <c r="M33" i="1" s="1"/>
  <c r="N33" i="1" s="1"/>
  <c r="O33" i="1" s="1"/>
  <c r="P33" i="1" s="1"/>
  <c r="Q33" i="1" s="1"/>
  <c r="R33" i="1" s="1"/>
  <c r="S33" i="1" s="1"/>
  <c r="T33" i="1" s="1"/>
  <c r="U33" i="1" s="1"/>
  <c r="V33" i="1" s="1"/>
  <c r="W33" i="1" s="1"/>
  <c r="X33" i="1" s="1"/>
  <c r="Y33" i="1" s="1"/>
  <c r="Z33" i="1" s="1"/>
  <c r="AA33" i="1" s="1"/>
  <c r="AB33" i="1" s="1"/>
  <c r="AC33" i="1" s="1"/>
  <c r="AD33" i="1" s="1"/>
  <c r="F20" i="1"/>
  <c r="G20" i="1" s="1"/>
  <c r="H20" i="1" s="1"/>
  <c r="I27" i="3" l="1"/>
  <c r="I28" i="3" s="1"/>
  <c r="H24" i="1"/>
  <c r="H24" i="2" s="1"/>
  <c r="H38" i="2" s="1"/>
  <c r="G24" i="1"/>
  <c r="G56" i="1" s="1"/>
  <c r="F24" i="1"/>
  <c r="P54" i="1"/>
  <c r="O59" i="1"/>
  <c r="Q52" i="1"/>
  <c r="R52" i="1" s="1"/>
  <c r="R59" i="1" s="1"/>
  <c r="S52" i="1"/>
  <c r="R54" i="1"/>
  <c r="P60" i="1"/>
  <c r="O54" i="1"/>
  <c r="I20" i="1"/>
  <c r="E23" i="1"/>
  <c r="H59" i="1"/>
  <c r="C71" i="1"/>
  <c r="C72" i="1" s="1"/>
  <c r="N59" i="1"/>
  <c r="M59" i="1"/>
  <c r="L59" i="1"/>
  <c r="C35" i="1"/>
  <c r="Q59" i="1" l="1"/>
  <c r="Q54" i="1"/>
  <c r="L60" i="1"/>
  <c r="O60" i="1"/>
  <c r="M60" i="1"/>
  <c r="J27" i="3"/>
  <c r="J28" i="3" s="1"/>
  <c r="I24" i="1"/>
  <c r="J20" i="1"/>
  <c r="J22" i="1" s="1"/>
  <c r="Q60" i="1"/>
  <c r="R60" i="1"/>
  <c r="T52" i="1"/>
  <c r="S59" i="1"/>
  <c r="S54" i="1"/>
  <c r="G24" i="2"/>
  <c r="G38" i="2" s="1"/>
  <c r="H56" i="1"/>
  <c r="I59" i="1"/>
  <c r="J59" i="1"/>
  <c r="K59" i="1"/>
  <c r="E55" i="1"/>
  <c r="E57" i="1" s="1"/>
  <c r="G22" i="1"/>
  <c r="I54" i="1"/>
  <c r="K54" i="1"/>
  <c r="H22" i="1"/>
  <c r="H54" i="1"/>
  <c r="E53" i="1"/>
  <c r="G59" i="1"/>
  <c r="F59" i="1"/>
  <c r="E21" i="1"/>
  <c r="E35" i="1" s="1"/>
  <c r="I22" i="1"/>
  <c r="J54" i="1"/>
  <c r="L54" i="1"/>
  <c r="M54" i="1"/>
  <c r="F54" i="1"/>
  <c r="N54" i="1"/>
  <c r="F22" i="1"/>
  <c r="G54" i="1"/>
  <c r="G57" i="1"/>
  <c r="C73" i="1"/>
  <c r="C36" i="1"/>
  <c r="N60" i="1"/>
  <c r="H60" i="1"/>
  <c r="J60" i="1" l="1"/>
  <c r="K60" i="1"/>
  <c r="I60" i="1"/>
  <c r="F60" i="1"/>
  <c r="G60" i="1"/>
  <c r="G71" i="1" s="1"/>
  <c r="K27" i="3"/>
  <c r="K28" i="3" s="1"/>
  <c r="J24" i="1"/>
  <c r="J36" i="1" s="1"/>
  <c r="H57" i="1"/>
  <c r="H71" i="1" s="1"/>
  <c r="I56" i="1"/>
  <c r="K20" i="1"/>
  <c r="S60" i="1"/>
  <c r="U52" i="1"/>
  <c r="T54" i="1"/>
  <c r="T59" i="1"/>
  <c r="E41" i="1"/>
  <c r="I35" i="1"/>
  <c r="I24" i="2"/>
  <c r="F24" i="2"/>
  <c r="F56" i="1"/>
  <c r="F57" i="1" s="1"/>
  <c r="E42" i="1"/>
  <c r="E39" i="1"/>
  <c r="E44" i="1"/>
  <c r="E40" i="1"/>
  <c r="E38" i="1"/>
  <c r="E36" i="1"/>
  <c r="H35" i="1"/>
  <c r="G35" i="1"/>
  <c r="G34" i="1"/>
  <c r="G25" i="1"/>
  <c r="H34" i="1"/>
  <c r="H25" i="1"/>
  <c r="E72" i="1"/>
  <c r="E34" i="1"/>
  <c r="E37" i="1"/>
  <c r="E25" i="1"/>
  <c r="E70" i="1"/>
  <c r="E43" i="1"/>
  <c r="I34" i="1"/>
  <c r="I25" i="1"/>
  <c r="F35" i="1"/>
  <c r="F25" i="1"/>
  <c r="F34" i="1"/>
  <c r="H36" i="1"/>
  <c r="G36" i="1"/>
  <c r="F36" i="1"/>
  <c r="C37" i="1"/>
  <c r="I36" i="1"/>
  <c r="C74" i="1"/>
  <c r="C75" i="1" s="1"/>
  <c r="C76" i="1" s="1"/>
  <c r="C77" i="1" s="1"/>
  <c r="C78" i="1" s="1"/>
  <c r="C79" i="1" s="1"/>
  <c r="C80" i="1" s="1"/>
  <c r="G73" i="1" l="1"/>
  <c r="F78" i="1"/>
  <c r="G72" i="1"/>
  <c r="G70" i="1"/>
  <c r="G61" i="1"/>
  <c r="G76" i="1"/>
  <c r="G78" i="1"/>
  <c r="G77" i="1"/>
  <c r="G75" i="1"/>
  <c r="E78" i="1"/>
  <c r="E77" i="1"/>
  <c r="K24" i="1"/>
  <c r="L27" i="3"/>
  <c r="L28" i="3" s="1"/>
  <c r="H76" i="1"/>
  <c r="H61" i="1"/>
  <c r="H75" i="1"/>
  <c r="H73" i="1"/>
  <c r="H77" i="1"/>
  <c r="H70" i="1"/>
  <c r="H78" i="1"/>
  <c r="H72" i="1"/>
  <c r="I57" i="1"/>
  <c r="J56" i="1"/>
  <c r="J35" i="1"/>
  <c r="J34" i="1"/>
  <c r="J25" i="1"/>
  <c r="L20" i="1"/>
  <c r="K22" i="1"/>
  <c r="T60" i="1"/>
  <c r="V52" i="1"/>
  <c r="U54" i="1"/>
  <c r="U59" i="1"/>
  <c r="F73" i="1"/>
  <c r="F70" i="1"/>
  <c r="F61" i="1"/>
  <c r="F77" i="1"/>
  <c r="F75" i="1"/>
  <c r="F71" i="1"/>
  <c r="F76" i="1"/>
  <c r="F72" i="1"/>
  <c r="E76" i="1"/>
  <c r="E61" i="1"/>
  <c r="E71" i="1"/>
  <c r="E75" i="1"/>
  <c r="E73" i="1"/>
  <c r="E74" i="1"/>
  <c r="H74" i="1"/>
  <c r="F74" i="1"/>
  <c r="G74" i="1"/>
  <c r="E79" i="1"/>
  <c r="H79" i="1"/>
  <c r="G79" i="1"/>
  <c r="F79" i="1"/>
  <c r="F37" i="1"/>
  <c r="C38" i="1"/>
  <c r="I37" i="1"/>
  <c r="J37" i="1"/>
  <c r="H37" i="1"/>
  <c r="G37" i="1"/>
  <c r="I74" i="1" l="1"/>
  <c r="L24" i="1"/>
  <c r="M27" i="3"/>
  <c r="M28" i="3" s="1"/>
  <c r="I70" i="1"/>
  <c r="I71" i="1"/>
  <c r="I73" i="1"/>
  <c r="I72" i="1"/>
  <c r="I75" i="1"/>
  <c r="I61" i="1"/>
  <c r="I79" i="1"/>
  <c r="I76" i="1"/>
  <c r="I77" i="1"/>
  <c r="I78" i="1"/>
  <c r="J57" i="1"/>
  <c r="J71" i="1" s="1"/>
  <c r="K56" i="1"/>
  <c r="K37" i="1"/>
  <c r="K35" i="1"/>
  <c r="K36" i="1"/>
  <c r="K25" i="1"/>
  <c r="K34" i="1"/>
  <c r="M20" i="1"/>
  <c r="L22" i="1"/>
  <c r="U60" i="1"/>
  <c r="W52" i="1"/>
  <c r="V59" i="1"/>
  <c r="V54" i="1"/>
  <c r="G80" i="1"/>
  <c r="F80" i="1"/>
  <c r="E80" i="1"/>
  <c r="H80" i="1"/>
  <c r="I80" i="1"/>
  <c r="K38" i="1"/>
  <c r="G38" i="1"/>
  <c r="J38" i="1"/>
  <c r="I38" i="1"/>
  <c r="H38" i="1"/>
  <c r="C39" i="1"/>
  <c r="F38" i="1"/>
  <c r="M24" i="1" l="1"/>
  <c r="N27" i="3"/>
  <c r="N28" i="3" s="1"/>
  <c r="K57" i="1"/>
  <c r="K61" i="1" s="1"/>
  <c r="J77" i="1"/>
  <c r="J78" i="1"/>
  <c r="J79" i="1"/>
  <c r="J75" i="1"/>
  <c r="J70" i="1"/>
  <c r="J76" i="1"/>
  <c r="J74" i="1"/>
  <c r="J61" i="1"/>
  <c r="J72" i="1"/>
  <c r="J73" i="1"/>
  <c r="J80" i="1"/>
  <c r="L56" i="1"/>
  <c r="L35" i="1"/>
  <c r="L25" i="1"/>
  <c r="L36" i="1"/>
  <c r="L34" i="1"/>
  <c r="L37" i="1"/>
  <c r="N20" i="1"/>
  <c r="M22" i="1"/>
  <c r="L38" i="1"/>
  <c r="V60" i="1"/>
  <c r="X52" i="1"/>
  <c r="W54" i="1"/>
  <c r="W59" i="1"/>
  <c r="J39" i="1"/>
  <c r="C40" i="1"/>
  <c r="I39" i="1"/>
  <c r="H39" i="1"/>
  <c r="G39" i="1"/>
  <c r="F39" i="1"/>
  <c r="K39" i="1"/>
  <c r="L39" i="1"/>
  <c r="N24" i="1" l="1"/>
  <c r="O27" i="3"/>
  <c r="O28" i="3" s="1"/>
  <c r="K70" i="1"/>
  <c r="K80" i="1"/>
  <c r="K71" i="1"/>
  <c r="K73" i="1"/>
  <c r="L57" i="1"/>
  <c r="L72" i="1" s="1"/>
  <c r="K72" i="1"/>
  <c r="K79" i="1"/>
  <c r="K76" i="1"/>
  <c r="K74" i="1"/>
  <c r="K75" i="1"/>
  <c r="K77" i="1"/>
  <c r="K78" i="1"/>
  <c r="M56" i="1"/>
  <c r="M35" i="1"/>
  <c r="M36" i="1"/>
  <c r="M34" i="1"/>
  <c r="M25" i="1"/>
  <c r="M37" i="1"/>
  <c r="M38" i="1"/>
  <c r="O20" i="1"/>
  <c r="N22" i="1"/>
  <c r="M39" i="1"/>
  <c r="X59" i="1"/>
  <c r="X54" i="1"/>
  <c r="Y52" i="1"/>
  <c r="Z52" i="1" s="1"/>
  <c r="W60" i="1"/>
  <c r="H40" i="1"/>
  <c r="G40" i="1"/>
  <c r="K40" i="1"/>
  <c r="F40" i="1"/>
  <c r="C41" i="1"/>
  <c r="M40" i="1"/>
  <c r="L40" i="1"/>
  <c r="J40" i="1"/>
  <c r="I40" i="1"/>
  <c r="AA52" i="1" l="1"/>
  <c r="Z59" i="1"/>
  <c r="Z54" i="1"/>
  <c r="O24" i="1"/>
  <c r="P27" i="3"/>
  <c r="P28" i="3" s="1"/>
  <c r="L70" i="1"/>
  <c r="L74" i="1"/>
  <c r="L77" i="1"/>
  <c r="L79" i="1"/>
  <c r="L76" i="1"/>
  <c r="L80" i="1"/>
  <c r="L71" i="1"/>
  <c r="L73" i="1"/>
  <c r="L61" i="1"/>
  <c r="L75" i="1"/>
  <c r="L78" i="1"/>
  <c r="M57" i="1"/>
  <c r="M80" i="1" s="1"/>
  <c r="N56" i="1"/>
  <c r="P20" i="1"/>
  <c r="O22" i="1"/>
  <c r="N35" i="1"/>
  <c r="N36" i="1"/>
  <c r="N25" i="1"/>
  <c r="N34" i="1"/>
  <c r="N37" i="1"/>
  <c r="N38" i="1"/>
  <c r="N39" i="1"/>
  <c r="N40" i="1"/>
  <c r="X60" i="1"/>
  <c r="Y59" i="1"/>
  <c r="Y54" i="1"/>
  <c r="N41" i="1"/>
  <c r="F41" i="1"/>
  <c r="C42" i="1"/>
  <c r="M41" i="1"/>
  <c r="L41" i="1"/>
  <c r="I41" i="1"/>
  <c r="K41" i="1"/>
  <c r="J41" i="1"/>
  <c r="H41" i="1"/>
  <c r="G41" i="1"/>
  <c r="N57" i="1" l="1"/>
  <c r="N78" i="1" s="1"/>
  <c r="Z60" i="1"/>
  <c r="AB52" i="1"/>
  <c r="AA59" i="1"/>
  <c r="AA54" i="1"/>
  <c r="P24" i="1"/>
  <c r="Q27" i="3"/>
  <c r="Q28" i="3" s="1"/>
  <c r="M71" i="1"/>
  <c r="M78" i="1"/>
  <c r="M73" i="1"/>
  <c r="M74" i="1"/>
  <c r="M77" i="1"/>
  <c r="M72" i="1"/>
  <c r="M76" i="1"/>
  <c r="M70" i="1"/>
  <c r="M61" i="1"/>
  <c r="M75" i="1"/>
  <c r="M79" i="1"/>
  <c r="O56" i="1"/>
  <c r="O41" i="1"/>
  <c r="O35" i="1"/>
  <c r="O37" i="1"/>
  <c r="O25" i="1"/>
  <c r="O36" i="1"/>
  <c r="O34" i="1"/>
  <c r="O38" i="1"/>
  <c r="O39" i="1"/>
  <c r="O40" i="1"/>
  <c r="P22" i="1"/>
  <c r="Q20" i="1"/>
  <c r="Y60" i="1"/>
  <c r="O42" i="1"/>
  <c r="L42" i="1"/>
  <c r="K42" i="1"/>
  <c r="J42" i="1"/>
  <c r="I42" i="1"/>
  <c r="H42" i="1"/>
  <c r="G42" i="1"/>
  <c r="M42" i="1"/>
  <c r="F42" i="1"/>
  <c r="C43" i="1"/>
  <c r="N42" i="1"/>
  <c r="N73" i="1" l="1"/>
  <c r="N77" i="1"/>
  <c r="N75" i="1"/>
  <c r="N76" i="1"/>
  <c r="N71" i="1"/>
  <c r="N74" i="1"/>
  <c r="N70" i="1"/>
  <c r="N80" i="1"/>
  <c r="N79" i="1"/>
  <c r="N61" i="1"/>
  <c r="N72" i="1"/>
  <c r="AA60" i="1"/>
  <c r="AC52" i="1"/>
  <c r="AB54" i="1"/>
  <c r="AB59" i="1"/>
  <c r="Q24" i="1"/>
  <c r="R27" i="3"/>
  <c r="R28" i="3" s="1"/>
  <c r="O57" i="1"/>
  <c r="O72" i="1" s="1"/>
  <c r="P56" i="1"/>
  <c r="P42" i="1"/>
  <c r="Q22" i="1"/>
  <c r="R20" i="1"/>
  <c r="P35" i="1"/>
  <c r="P34" i="1"/>
  <c r="P36" i="1"/>
  <c r="P25" i="1"/>
  <c r="P38" i="1"/>
  <c r="P37" i="1"/>
  <c r="P39" i="1"/>
  <c r="P40" i="1"/>
  <c r="P41" i="1"/>
  <c r="O43" i="1"/>
  <c r="P43" i="1"/>
  <c r="J43" i="1"/>
  <c r="I43" i="1"/>
  <c r="H43" i="1"/>
  <c r="C44" i="1"/>
  <c r="G43" i="1"/>
  <c r="M43" i="1"/>
  <c r="N43" i="1"/>
  <c r="F43" i="1"/>
  <c r="L43" i="1"/>
  <c r="K43" i="1"/>
  <c r="O78" i="1" l="1"/>
  <c r="O75" i="1"/>
  <c r="O77" i="1"/>
  <c r="O79" i="1"/>
  <c r="O76" i="1"/>
  <c r="O71" i="1"/>
  <c r="O73" i="1"/>
  <c r="O74" i="1"/>
  <c r="O80" i="1"/>
  <c r="AB60" i="1"/>
  <c r="AC54" i="1"/>
  <c r="AD52" i="1"/>
  <c r="AC59" i="1"/>
  <c r="R24" i="1"/>
  <c r="S27" i="3"/>
  <c r="S28" i="3" s="1"/>
  <c r="P57" i="1"/>
  <c r="P75" i="1" s="1"/>
  <c r="O61" i="1"/>
  <c r="Q56" i="1"/>
  <c r="Q34" i="1"/>
  <c r="Q43" i="1"/>
  <c r="O70" i="1"/>
  <c r="S20" i="1"/>
  <c r="R22" i="1"/>
  <c r="Q37" i="1"/>
  <c r="Q39" i="1"/>
  <c r="Q25" i="1"/>
  <c r="Q36" i="1"/>
  <c r="Q35" i="1"/>
  <c r="Q38" i="1"/>
  <c r="Q40" i="1"/>
  <c r="Q41" i="1"/>
  <c r="Q42" i="1"/>
  <c r="Q44" i="1"/>
  <c r="P44" i="1"/>
  <c r="O44" i="1"/>
  <c r="H44" i="1"/>
  <c r="G44" i="1"/>
  <c r="N44" i="1"/>
  <c r="F44" i="1"/>
  <c r="M44" i="1"/>
  <c r="L44" i="1"/>
  <c r="K44" i="1"/>
  <c r="J44" i="1"/>
  <c r="I44" i="1"/>
  <c r="P77" i="1" l="1"/>
  <c r="P71" i="1"/>
  <c r="P78" i="1"/>
  <c r="P72" i="1"/>
  <c r="P73" i="1"/>
  <c r="P80" i="1"/>
  <c r="P79" i="1"/>
  <c r="P74" i="1"/>
  <c r="P76" i="1"/>
  <c r="AC60" i="1"/>
  <c r="AD54" i="1"/>
  <c r="AD59" i="1"/>
  <c r="S24" i="1"/>
  <c r="T27" i="3"/>
  <c r="T28" i="3" s="1"/>
  <c r="P61" i="1"/>
  <c r="P70" i="1"/>
  <c r="Q57" i="1"/>
  <c r="Q72" i="1" s="1"/>
  <c r="R56" i="1"/>
  <c r="R34" i="1"/>
  <c r="R44" i="1"/>
  <c r="R25" i="1"/>
  <c r="R35" i="1"/>
  <c r="R40" i="1"/>
  <c r="R37" i="1"/>
  <c r="R36" i="1"/>
  <c r="R38" i="1"/>
  <c r="R39" i="1"/>
  <c r="R41" i="1"/>
  <c r="R42" i="1"/>
  <c r="R43" i="1"/>
  <c r="S22" i="1"/>
  <c r="T20" i="1"/>
  <c r="I41" i="2"/>
  <c r="I42" i="2" s="1"/>
  <c r="H41" i="2"/>
  <c r="H42" i="2" s="1"/>
  <c r="G41" i="2"/>
  <c r="G42" i="2" s="1"/>
  <c r="F41" i="2"/>
  <c r="F42" i="2" s="1"/>
  <c r="H39" i="2"/>
  <c r="G39" i="2"/>
  <c r="E37" i="2"/>
  <c r="E39" i="2" s="1"/>
  <c r="I36" i="2"/>
  <c r="H36" i="2"/>
  <c r="G36" i="2"/>
  <c r="F36" i="2"/>
  <c r="E35" i="2"/>
  <c r="I38" i="2"/>
  <c r="I39" i="2" s="1"/>
  <c r="F38" i="2"/>
  <c r="F39" i="2" s="1"/>
  <c r="E23" i="2"/>
  <c r="I22" i="2"/>
  <c r="H22" i="2"/>
  <c r="G22" i="2"/>
  <c r="F22" i="2"/>
  <c r="E21" i="2"/>
  <c r="Q71" i="1" l="1"/>
  <c r="Q78" i="1"/>
  <c r="Q77" i="1"/>
  <c r="Q73" i="1"/>
  <c r="Q80" i="1"/>
  <c r="Q79" i="1"/>
  <c r="Q76" i="1"/>
  <c r="Q75" i="1"/>
  <c r="Q74" i="1"/>
  <c r="AD60" i="1"/>
  <c r="T24" i="1"/>
  <c r="U27" i="3"/>
  <c r="U28" i="3" s="1"/>
  <c r="Q70" i="1"/>
  <c r="Q61" i="1"/>
  <c r="R57" i="1"/>
  <c r="R73" i="1" s="1"/>
  <c r="S56" i="1"/>
  <c r="S34" i="1"/>
  <c r="S40" i="1"/>
  <c r="S37" i="1"/>
  <c r="S35" i="1"/>
  <c r="S41" i="1"/>
  <c r="S39" i="1"/>
  <c r="S25" i="1"/>
  <c r="S38" i="1"/>
  <c r="S36" i="1"/>
  <c r="S42" i="1"/>
  <c r="S43" i="1"/>
  <c r="S44" i="1"/>
  <c r="T22" i="1"/>
  <c r="U20" i="1"/>
  <c r="G25" i="2"/>
  <c r="E43" i="2"/>
  <c r="H25" i="2"/>
  <c r="I25" i="2"/>
  <c r="F43" i="2"/>
  <c r="G43" i="2"/>
  <c r="H43" i="2"/>
  <c r="E25" i="2"/>
  <c r="F25" i="2"/>
  <c r="I43" i="2"/>
  <c r="R76" i="1" l="1"/>
  <c r="R77" i="1"/>
  <c r="R79" i="1"/>
  <c r="R71" i="1"/>
  <c r="R75" i="1"/>
  <c r="R72" i="1"/>
  <c r="R80" i="1"/>
  <c r="R74" i="1"/>
  <c r="R78" i="1"/>
  <c r="U24" i="1"/>
  <c r="V27" i="3"/>
  <c r="V28" i="3" s="1"/>
  <c r="R61" i="1"/>
  <c r="R70" i="1"/>
  <c r="S57" i="1"/>
  <c r="S79" i="1" s="1"/>
  <c r="T56" i="1"/>
  <c r="T39" i="1"/>
  <c r="T44" i="1"/>
  <c r="T41" i="1"/>
  <c r="T34" i="1"/>
  <c r="T43" i="1"/>
  <c r="T36" i="1"/>
  <c r="T40" i="1"/>
  <c r="T42" i="1"/>
  <c r="T35" i="1"/>
  <c r="T37" i="1"/>
  <c r="T38" i="1"/>
  <c r="V20" i="1"/>
  <c r="U22" i="1"/>
  <c r="T25" i="1"/>
  <c r="I44" i="2"/>
  <c r="H44" i="2"/>
  <c r="E46" i="2" s="1"/>
  <c r="G44" i="2"/>
  <c r="F44" i="2"/>
  <c r="E44" i="2"/>
  <c r="E26" i="2"/>
  <c r="I26" i="2"/>
  <c r="H26" i="2"/>
  <c r="E28" i="2" s="1"/>
  <c r="G26" i="2"/>
  <c r="F26" i="2"/>
  <c r="S80" i="1" l="1"/>
  <c r="S73" i="1"/>
  <c r="S76" i="1"/>
  <c r="S75" i="1"/>
  <c r="S78" i="1"/>
  <c r="S71" i="1"/>
  <c r="S77" i="1"/>
  <c r="S72" i="1"/>
  <c r="S74" i="1"/>
  <c r="V24" i="1"/>
  <c r="W27" i="3"/>
  <c r="W28" i="3" s="1"/>
  <c r="S61" i="1"/>
  <c r="S70" i="1"/>
  <c r="T57" i="1"/>
  <c r="T75" i="1" s="1"/>
  <c r="U56" i="1"/>
  <c r="U41" i="1"/>
  <c r="U34" i="1"/>
  <c r="U44" i="1"/>
  <c r="U37" i="1"/>
  <c r="U43" i="1"/>
  <c r="U36" i="1"/>
  <c r="U38" i="1"/>
  <c r="U40" i="1"/>
  <c r="U42" i="1"/>
  <c r="U35" i="1"/>
  <c r="U39" i="1"/>
  <c r="U25" i="1"/>
  <c r="W20" i="1"/>
  <c r="V22" i="1"/>
  <c r="L6" i="2"/>
  <c r="L9" i="2"/>
  <c r="D36" i="3" s="1"/>
  <c r="T76" i="1" l="1"/>
  <c r="T71" i="1"/>
  <c r="T77" i="1"/>
  <c r="T74" i="1"/>
  <c r="T72" i="1"/>
  <c r="T80" i="1"/>
  <c r="T78" i="1"/>
  <c r="T70" i="1"/>
  <c r="T79" i="1"/>
  <c r="T73" i="1"/>
  <c r="W24" i="1"/>
  <c r="X27" i="3"/>
  <c r="X28" i="3" s="1"/>
  <c r="U57" i="1"/>
  <c r="U61" i="1" s="1"/>
  <c r="T61" i="1"/>
  <c r="V56" i="1"/>
  <c r="V41" i="1"/>
  <c r="V34" i="1"/>
  <c r="V43" i="1"/>
  <c r="V36" i="1"/>
  <c r="V38" i="1"/>
  <c r="V40" i="1"/>
  <c r="V42" i="1"/>
  <c r="V35" i="1"/>
  <c r="V44" i="1"/>
  <c r="V37" i="1"/>
  <c r="V39" i="1"/>
  <c r="X20" i="1"/>
  <c r="W22" i="1"/>
  <c r="V25" i="1"/>
  <c r="U79" i="1" l="1"/>
  <c r="U75" i="1"/>
  <c r="U73" i="1"/>
  <c r="U70" i="1"/>
  <c r="U72" i="1"/>
  <c r="U74" i="1"/>
  <c r="U71" i="1"/>
  <c r="U80" i="1"/>
  <c r="U77" i="1"/>
  <c r="U76" i="1"/>
  <c r="U78" i="1"/>
  <c r="X24" i="1"/>
  <c r="Y27" i="3"/>
  <c r="Y28" i="3" s="1"/>
  <c r="V57" i="1"/>
  <c r="V77" i="1" s="1"/>
  <c r="W56" i="1"/>
  <c r="W43" i="1"/>
  <c r="W36" i="1"/>
  <c r="W39" i="1"/>
  <c r="W38" i="1"/>
  <c r="W42" i="1"/>
  <c r="W35" i="1"/>
  <c r="W44" i="1"/>
  <c r="W37" i="1"/>
  <c r="W41" i="1"/>
  <c r="W34" i="1"/>
  <c r="W40" i="1"/>
  <c r="Y20" i="1"/>
  <c r="Z20" i="1" s="1"/>
  <c r="X22" i="1"/>
  <c r="W25" i="1"/>
  <c r="V79" i="1" l="1"/>
  <c r="V76" i="1"/>
  <c r="V72" i="1"/>
  <c r="V80" i="1"/>
  <c r="V74" i="1"/>
  <c r="V70" i="1"/>
  <c r="V78" i="1"/>
  <c r="V71" i="1"/>
  <c r="V75" i="1"/>
  <c r="V73" i="1"/>
  <c r="AA20" i="1"/>
  <c r="Z22" i="1"/>
  <c r="Y24" i="1"/>
  <c r="Z27" i="3"/>
  <c r="Z28" i="3" s="1"/>
  <c r="Z24" i="1" s="1"/>
  <c r="Z56" i="1" s="1"/>
  <c r="V61" i="1"/>
  <c r="W57" i="1"/>
  <c r="W61" i="1" s="1"/>
  <c r="X56" i="1"/>
  <c r="X43" i="1"/>
  <c r="X36" i="1"/>
  <c r="X38" i="1"/>
  <c r="X40" i="1"/>
  <c r="X35" i="1"/>
  <c r="X44" i="1"/>
  <c r="X37" i="1"/>
  <c r="X39" i="1"/>
  <c r="X41" i="1"/>
  <c r="X34" i="1"/>
  <c r="X42" i="1"/>
  <c r="X25" i="1"/>
  <c r="Y22" i="1"/>
  <c r="Z57" i="1" l="1"/>
  <c r="Z70" i="1" s="1"/>
  <c r="Z73" i="1"/>
  <c r="Z71" i="1"/>
  <c r="Z77" i="1"/>
  <c r="W70" i="1"/>
  <c r="W73" i="1"/>
  <c r="W75" i="1"/>
  <c r="W72" i="1"/>
  <c r="W80" i="1"/>
  <c r="W71" i="1"/>
  <c r="W78" i="1"/>
  <c r="W79" i="1"/>
  <c r="W77" i="1"/>
  <c r="W74" i="1"/>
  <c r="W76" i="1"/>
  <c r="Z40" i="1"/>
  <c r="Z39" i="1"/>
  <c r="Z25" i="1"/>
  <c r="Z34" i="1"/>
  <c r="Z43" i="1"/>
  <c r="Z41" i="1"/>
  <c r="Z38" i="1"/>
  <c r="Z35" i="1"/>
  <c r="Z42" i="1"/>
  <c r="Z37" i="1"/>
  <c r="Z44" i="1"/>
  <c r="Z36" i="1"/>
  <c r="AB20" i="1"/>
  <c r="AA22" i="1"/>
  <c r="AA27" i="3"/>
  <c r="AA28" i="3" s="1"/>
  <c r="AA24" i="1" s="1"/>
  <c r="AA56" i="1" s="1"/>
  <c r="X57" i="1"/>
  <c r="X74" i="1" s="1"/>
  <c r="Y56" i="1"/>
  <c r="Y38" i="1"/>
  <c r="D38" i="1" s="1"/>
  <c r="Y41" i="1"/>
  <c r="D41" i="1" s="1"/>
  <c r="Y43" i="1"/>
  <c r="D43" i="1" s="1"/>
  <c r="Y40" i="1"/>
  <c r="D40" i="1" s="1"/>
  <c r="Y42" i="1"/>
  <c r="D42" i="1" s="1"/>
  <c r="Y44" i="1"/>
  <c r="D44" i="1" s="1"/>
  <c r="Y37" i="1"/>
  <c r="D37" i="1" s="1"/>
  <c r="Y39" i="1"/>
  <c r="D39" i="1" s="1"/>
  <c r="Y34" i="1"/>
  <c r="D34" i="1" s="1"/>
  <c r="Y36" i="1"/>
  <c r="D36" i="1" s="1"/>
  <c r="Y35" i="1"/>
  <c r="D35" i="1" s="1"/>
  <c r="Y25" i="1"/>
  <c r="Z74" i="1" l="1"/>
  <c r="Z61" i="1"/>
  <c r="Z80" i="1"/>
  <c r="Z78" i="1"/>
  <c r="Z79" i="1"/>
  <c r="Z76" i="1"/>
  <c r="Z72" i="1"/>
  <c r="Z75" i="1"/>
  <c r="AA57" i="1"/>
  <c r="AA73" i="1" s="1"/>
  <c r="AA74" i="1"/>
  <c r="AA75" i="1"/>
  <c r="AA70" i="1"/>
  <c r="AA77" i="1"/>
  <c r="AA79" i="1"/>
  <c r="X76" i="1"/>
  <c r="X72" i="1"/>
  <c r="X78" i="1"/>
  <c r="X71" i="1"/>
  <c r="X73" i="1"/>
  <c r="X77" i="1"/>
  <c r="X75" i="1"/>
  <c r="X80" i="1"/>
  <c r="X79" i="1"/>
  <c r="X70" i="1"/>
  <c r="Y57" i="1"/>
  <c r="Y77" i="1" s="1"/>
  <c r="AC20" i="1"/>
  <c r="AB22" i="1"/>
  <c r="AA43" i="1"/>
  <c r="AA36" i="1"/>
  <c r="AA34" i="1"/>
  <c r="AA42" i="1"/>
  <c r="AA38" i="1"/>
  <c r="AA44" i="1"/>
  <c r="AA41" i="1"/>
  <c r="AA40" i="1"/>
  <c r="AA37" i="1"/>
  <c r="AA35" i="1"/>
  <c r="AA25" i="1"/>
  <c r="AA39" i="1"/>
  <c r="AB27" i="3"/>
  <c r="AB28" i="3" s="1"/>
  <c r="AB24" i="1" s="1"/>
  <c r="AB56" i="1" s="1"/>
  <c r="X61" i="1"/>
  <c r="AA78" i="1" l="1"/>
  <c r="AA76" i="1"/>
  <c r="AA61" i="1"/>
  <c r="AA71" i="1"/>
  <c r="AA80" i="1"/>
  <c r="AA72" i="1"/>
  <c r="AB57" i="1"/>
  <c r="AB76" i="1" s="1"/>
  <c r="AB75" i="1"/>
  <c r="AB72" i="1"/>
  <c r="AB74" i="1"/>
  <c r="AB61" i="1"/>
  <c r="AB78" i="1"/>
  <c r="AB80" i="1"/>
  <c r="AB70" i="1"/>
  <c r="Y79" i="1"/>
  <c r="Y78" i="1"/>
  <c r="Y61" i="1"/>
  <c r="Y80" i="1"/>
  <c r="Y71" i="1"/>
  <c r="Y72" i="1"/>
  <c r="Y75" i="1"/>
  <c r="Y76" i="1"/>
  <c r="Y74" i="1"/>
  <c r="Y73" i="1"/>
  <c r="Y70" i="1"/>
  <c r="AB40" i="1"/>
  <c r="AB38" i="1"/>
  <c r="AB36" i="1"/>
  <c r="AB41" i="1"/>
  <c r="AB25" i="1"/>
  <c r="AB34" i="1"/>
  <c r="AB37" i="1"/>
  <c r="AB35" i="1"/>
  <c r="AB44" i="1"/>
  <c r="AB39" i="1"/>
  <c r="AB43" i="1"/>
  <c r="AB42" i="1"/>
  <c r="AC22" i="1"/>
  <c r="AD20" i="1"/>
  <c r="AD22" i="1" s="1"/>
  <c r="AC27" i="3"/>
  <c r="AC28" i="3" s="1"/>
  <c r="AC24" i="1" s="1"/>
  <c r="AC56" i="1" s="1"/>
  <c r="AB73" i="1" l="1"/>
  <c r="AB79" i="1"/>
  <c r="AB77" i="1"/>
  <c r="AB71" i="1"/>
  <c r="AC57" i="1"/>
  <c r="AC70" i="1" s="1"/>
  <c r="AC79" i="1"/>
  <c r="AC74" i="1"/>
  <c r="AC77" i="1"/>
  <c r="AC41" i="1"/>
  <c r="AC34" i="1"/>
  <c r="AC38" i="1"/>
  <c r="AC39" i="1"/>
  <c r="AC35" i="1"/>
  <c r="AC40" i="1"/>
  <c r="AC44" i="1"/>
  <c r="AC42" i="1"/>
  <c r="AC36" i="1"/>
  <c r="AC43" i="1"/>
  <c r="AC37" i="1"/>
  <c r="AC25" i="1"/>
  <c r="AD27" i="3"/>
  <c r="AD28" i="3" s="1"/>
  <c r="AD24" i="1" s="1"/>
  <c r="AD56" i="1" s="1"/>
  <c r="AD37" i="1" l="1"/>
  <c r="AD40" i="1"/>
  <c r="AD57" i="1"/>
  <c r="AD75" i="1" s="1"/>
  <c r="AD61" i="1"/>
  <c r="AD25" i="1"/>
  <c r="C28" i="1" s="1"/>
  <c r="M6" i="1" s="1"/>
  <c r="AC76" i="1"/>
  <c r="AC75" i="1"/>
  <c r="AD42" i="1"/>
  <c r="AC73" i="1"/>
  <c r="AD38" i="1"/>
  <c r="AD36" i="1"/>
  <c r="AC71" i="1"/>
  <c r="AD44" i="1"/>
  <c r="AD41" i="1"/>
  <c r="AC72" i="1"/>
  <c r="AD43" i="1"/>
  <c r="AC78" i="1"/>
  <c r="AD39" i="1"/>
  <c r="AC80" i="1"/>
  <c r="AD35" i="1"/>
  <c r="AC61" i="1"/>
  <c r="AD34" i="1"/>
  <c r="AD72" i="1" l="1"/>
  <c r="AD70" i="1"/>
  <c r="D70" i="1" s="1"/>
  <c r="AD71" i="1"/>
  <c r="D71" i="1" s="1"/>
  <c r="AD77" i="1"/>
  <c r="D77" i="1" s="1"/>
  <c r="AD74" i="1"/>
  <c r="D74" i="1" s="1"/>
  <c r="AD79" i="1"/>
  <c r="D79" i="1" s="1"/>
  <c r="AD78" i="1"/>
  <c r="D78" i="1" s="1"/>
  <c r="AD80" i="1"/>
  <c r="C64" i="1"/>
  <c r="M9" i="1" s="1"/>
  <c r="I36" i="3" s="1"/>
  <c r="C40" i="3" s="1"/>
  <c r="C41" i="3" s="1"/>
  <c r="AD73" i="1"/>
  <c r="D73" i="1" s="1"/>
  <c r="D72" i="1"/>
  <c r="D80" i="1"/>
  <c r="AD76" i="1"/>
  <c r="D76" i="1" s="1"/>
  <c r="D75" i="1"/>
  <c r="B41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Zeebroek Paul</author>
  </authors>
  <commentList>
    <comment ref="D13" authorId="0" shapeId="0" xr:uid="{79997308-3B20-4697-A047-07726B5A1DA4}">
      <text>
        <r>
          <rPr>
            <b/>
            <sz val="9"/>
            <color indexed="81"/>
            <rFont val="Tahoma"/>
            <family val="2"/>
          </rPr>
          <t>Zeebroek Paul:</t>
        </r>
        <r>
          <rPr>
            <sz val="9"/>
            <color indexed="81"/>
            <rFont val="Tahoma"/>
            <family val="2"/>
          </rPr>
          <t xml:space="preserve">
= jaar belastbaar tijdperk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tc={459D3717-3E68-49C5-B6C7-FB6BBA9BE499}</author>
  </authors>
  <commentList>
    <comment ref="C64" authorId="0" shapeId="0" xr:uid="{459D3717-3E68-49C5-B6C7-FB6BBA9BE499}">
      <text>
        <t>[Threaded comment]
Your version of Excel allows you to read this threaded comment; however, any edits to it will get removed if the file is opened in a newer version of Excel. Learn more: https://go.microsoft.com/fwlink/?linkid=870924
Comment:
    IRR op 1 cijfer na de komma. Waarden tussen 12,9% en kleiner dan 13% worden weergegeven als 12,9% om aan te tonen dat de IRR kleiner is dan 13%. Waarden groter dan 13% en kleiner dan 13,1% worden aangegeven als 13,1% om aan te tonen dat de IRR groter is dan 13%.</t>
      </text>
    </comment>
  </commentList>
</comments>
</file>

<file path=xl/sharedStrings.xml><?xml version="1.0" encoding="utf-8"?>
<sst xmlns="http://schemas.openxmlformats.org/spreadsheetml/2006/main" count="111" uniqueCount="66">
  <si>
    <t>Berekening terugverdientermijn (TVT) en IRR</t>
  </si>
  <si>
    <t>versie:</t>
  </si>
  <si>
    <t>vs. 3.0</t>
  </si>
  <si>
    <t>Korte handleiding</t>
  </si>
  <si>
    <t>U vult volgende cellen in (met lichtgele achtergrond). De andere cellen zijn niet te wijzigen!</t>
  </si>
  <si>
    <r>
      <t xml:space="preserve">- De </t>
    </r>
    <r>
      <rPr>
        <b/>
        <sz val="10"/>
        <color rgb="FF0000FF"/>
        <rFont val="Arial"/>
        <family val="2"/>
      </rPr>
      <t>blauwe cijfers in de cellen E12 tem E22</t>
    </r>
    <r>
      <rPr>
        <sz val="10"/>
        <color theme="1"/>
        <rFont val="Arial"/>
        <family val="2"/>
      </rPr>
      <t xml:space="preserve"> met de projectgegevens; met uitzondering van cel E14 (= % thematische aftrek, die berekend wordt op basis van de cellen E12 en E13) 
</t>
    </r>
    <r>
      <rPr>
        <b/>
        <sz val="10"/>
        <color theme="1"/>
        <rFont val="Arial"/>
        <family val="2"/>
      </rPr>
      <t xml:space="preserve">  </t>
    </r>
    <r>
      <rPr>
        <b/>
        <sz val="10"/>
        <color rgb="FFFF0000"/>
        <rFont val="Arial"/>
        <family val="2"/>
      </rPr>
      <t>Let op ! Financiële waarden in 1.000 euro!</t>
    </r>
  </si>
  <si>
    <r>
      <t xml:space="preserve">- in </t>
    </r>
    <r>
      <rPr>
        <b/>
        <sz val="10"/>
        <color rgb="FF0000FF"/>
        <rFont val="Arial"/>
        <family val="2"/>
      </rPr>
      <t>cel E22</t>
    </r>
    <r>
      <rPr>
        <sz val="10"/>
        <rFont val="Arial"/>
        <family val="2"/>
      </rPr>
      <t xml:space="preserve"> aangeven of de jaarlijkse besparingen identiek zijn voor elk jaar gedurende de levensduur. 
  </t>
    </r>
    <r>
      <rPr>
        <sz val="10"/>
        <color rgb="FFFF0000"/>
        <rFont val="Arial"/>
        <family val="2"/>
      </rPr>
      <t>I</t>
    </r>
    <r>
      <rPr>
        <b/>
        <sz val="10"/>
        <color rgb="FFFF0000"/>
        <rFont val="Arial"/>
        <family val="2"/>
      </rPr>
      <t>ndien niet, dan vult u in rij 27 gedurende de levensduur de effectieve jaarlijkse besparing in voor het betreffende jaar.</t>
    </r>
  </si>
  <si>
    <t>In te vullen projectgegevens</t>
  </si>
  <si>
    <t>jaar van de investeringen</t>
  </si>
  <si>
    <t>grootte onderneming</t>
  </si>
  <si>
    <t>thematische aftrek</t>
  </si>
  <si>
    <t>Investering</t>
  </si>
  <si>
    <t>k€</t>
  </si>
  <si>
    <t>Installatiekosten</t>
  </si>
  <si>
    <t xml:space="preserve">Levensduur </t>
  </si>
  <si>
    <t>jaar</t>
  </si>
  <si>
    <t>Restwaarde bij einde levensduur</t>
  </si>
  <si>
    <t>Afschrijvingstermijn</t>
  </si>
  <si>
    <t>Vennootschapsbelasting</t>
  </si>
  <si>
    <t>Netto besparing jaar 1</t>
  </si>
  <si>
    <t>netto besparingen elk jaar identiek?</t>
  </si>
  <si>
    <t>ja</t>
  </si>
  <si>
    <t>Jaar</t>
  </si>
  <si>
    <t>Netto besparing per jaar over de levensduur (k€)</t>
  </si>
  <si>
    <t>Resultaat van TVT-berekening</t>
  </si>
  <si>
    <t>Resultaat van IRR-berekening</t>
  </si>
  <si>
    <t>TVT na belastingen:</t>
  </si>
  <si>
    <t>IRR na belastingen:</t>
  </si>
  <si>
    <t>Conclusie:</t>
  </si>
  <si>
    <t>Berekening terugverdientermijn (TVT) van de investeringen</t>
  </si>
  <si>
    <t>projectgegevens</t>
  </si>
  <si>
    <t>TVT vóór belastingen:</t>
  </si>
  <si>
    <t>Thematische aftrek</t>
  </si>
  <si>
    <t xml:space="preserve">Hieronder wordt de wijze van berekening van de IRR vóór resp. na belastingen weergegeven. </t>
  </si>
  <si>
    <t>TVT berekening vóór belasting</t>
  </si>
  <si>
    <t>Netto besparing per jaar over de levensduur</t>
  </si>
  <si>
    <t>Totale kasstroom</t>
  </si>
  <si>
    <t>Cumulatieve kasstroom</t>
  </si>
  <si>
    <t>Berekening TVT voor belastingen:</t>
  </si>
  <si>
    <t>TVT berekening  na belasting</t>
  </si>
  <si>
    <t>Belasting op opbrengsten</t>
  </si>
  <si>
    <t>Afschrijving per jaar</t>
  </si>
  <si>
    <t>Verminderde belasting door afschrijving</t>
  </si>
  <si>
    <t>Berekening TVT na belastingen:</t>
  </si>
  <si>
    <t>Berekening IRR van de investeringen</t>
  </si>
  <si>
    <t>IRR vóór belastingen:</t>
  </si>
  <si>
    <t>IRR berekening vóór belasting</t>
  </si>
  <si>
    <t xml:space="preserve">De IRR wordt berekend m.b.v. een formule (iteratie) en geeft </t>
  </si>
  <si>
    <t>volgend resultaat:</t>
  </si>
  <si>
    <t>IRR :</t>
  </si>
  <si>
    <t xml:space="preserve">Dit kan zichtbaar gemaakt worden door bij verschillende rentevoeten de NCW te berekenen en te kijken bij welke rentevoet de NCW = 0 wordt </t>
  </si>
  <si>
    <t>rentevoet</t>
  </si>
  <si>
    <t>NCW in het jaar 
van investeren</t>
  </si>
  <si>
    <t>De rentevoet waarbij de netto contante waarde = 0 wordt, is de IRR van de investering vóór belastingen</t>
  </si>
  <si>
    <t>IRR berekening  na belasting</t>
  </si>
  <si>
    <t>Investeringsaftrek</t>
  </si>
  <si>
    <t>De IRR wordt berekend m.b.v. een formule (iteratie) en geeft</t>
  </si>
  <si>
    <t>IRR=</t>
  </si>
  <si>
    <t>De rentevoet waarbij de netto contante waarde = 0 wordt, is de IRR van de investering na belastingen</t>
  </si>
  <si>
    <t>nr.</t>
  </si>
  <si>
    <t>versie</t>
  </si>
  <si>
    <t>Datum</t>
  </si>
  <si>
    <t>Omschrijving</t>
  </si>
  <si>
    <t>versie obv  sjabloon premie na audit</t>
  </si>
  <si>
    <t>aanpassingen:
- incl. thematische aftrek
- exploitatieperiode uitgebreid tot 25 jaar
- mogelijkheid tot besparingen verschillend jaar tot jaar</t>
  </si>
  <si>
    <t>aanpassingen:
- thematische aftrek = 30% voor niet KO voor investeringen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</si>
</sst>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_B_F_-;\-* #,##0.00\ _B_F_-;_-* &quot;-&quot;??\ _B_F_-;_-@_-"/>
    <numFmt numFmtId="165" formatCode="#,##0.000"/>
    <numFmt numFmtId="166" formatCode="0.000"/>
    <numFmt numFmtId="167" formatCode="#,##0.00_ ;[Red]\-#,##0.00\ "/>
    <numFmt numFmtId="168" formatCode="0.0%"/>
    <numFmt numFmtId="169" formatCode="0.0"/>
    <numFmt numFmtId="170" formatCode="#,##0.0000"/>
  </numFmts>
  <fonts count="18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10"/>
      <color indexed="12"/>
      <name val="Arial"/>
      <family val="2"/>
    </font>
    <font>
      <sz val="10"/>
      <color indexed="41"/>
      <name val="Arial"/>
      <family val="2"/>
    </font>
    <font>
      <b/>
      <sz val="12"/>
      <name val="Arial"/>
      <family val="2"/>
    </font>
    <font>
      <b/>
      <sz val="10"/>
      <color rgb="FF0000FF"/>
      <name val="Arial"/>
      <family val="2"/>
    </font>
    <font>
      <sz val="10"/>
      <color theme="9" tint="0.79998168889431442"/>
      <name val="Arial"/>
      <family val="2"/>
    </font>
    <font>
      <sz val="10"/>
      <color theme="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2">
    <xf numFmtId="0" fontId="0" fillId="0" borderId="0" xfId="0"/>
    <xf numFmtId="0" fontId="0" fillId="0" borderId="0" xfId="0" applyAlignment="1">
      <alignment vertical="center"/>
    </xf>
    <xf numFmtId="164" fontId="0" fillId="0" borderId="0" xfId="1" applyFont="1" applyAlignment="1" applyProtection="1">
      <alignment vertical="center"/>
    </xf>
    <xf numFmtId="0" fontId="1" fillId="0" borderId="0" xfId="0" applyFont="1" applyAlignment="1">
      <alignment vertical="center"/>
    </xf>
    <xf numFmtId="4" fontId="7" fillId="5" borderId="9" xfId="1" applyNumberFormat="1" applyFont="1" applyFill="1" applyBorder="1" applyAlignment="1" applyProtection="1">
      <alignment horizontal="center" vertical="center"/>
    </xf>
    <xf numFmtId="4" fontId="7" fillId="5" borderId="0" xfId="1" applyNumberFormat="1" applyFont="1" applyFill="1" applyBorder="1" applyAlignment="1" applyProtection="1">
      <alignment horizontal="center" vertical="center"/>
    </xf>
    <xf numFmtId="168" fontId="10" fillId="4" borderId="0" xfId="1" applyNumberFormat="1" applyFont="1" applyFill="1" applyBorder="1" applyAlignment="1" applyProtection="1">
      <alignment vertical="center"/>
    </xf>
    <xf numFmtId="167" fontId="10" fillId="4" borderId="12" xfId="1" applyNumberFormat="1" applyFont="1" applyFill="1" applyBorder="1" applyAlignment="1" applyProtection="1">
      <alignment vertical="center"/>
    </xf>
    <xf numFmtId="3" fontId="7" fillId="5" borderId="0" xfId="1" applyNumberFormat="1" applyFont="1" applyFill="1" applyBorder="1" applyAlignment="1" applyProtection="1">
      <alignment horizontal="center" vertical="center"/>
    </xf>
    <xf numFmtId="0" fontId="1" fillId="3" borderId="8" xfId="0" applyFont="1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1" fillId="3" borderId="11" xfId="0" applyFont="1" applyFill="1" applyBorder="1" applyAlignment="1">
      <alignment vertical="center"/>
    </xf>
    <xf numFmtId="168" fontId="10" fillId="3" borderId="0" xfId="1" applyNumberFormat="1" applyFont="1" applyFill="1" applyBorder="1" applyAlignment="1" applyProtection="1">
      <alignment vertical="center"/>
    </xf>
    <xf numFmtId="0" fontId="1" fillId="3" borderId="13" xfId="0" applyFont="1" applyFill="1" applyBorder="1" applyAlignment="1">
      <alignment vertical="center"/>
    </xf>
    <xf numFmtId="0" fontId="1" fillId="3" borderId="14" xfId="0" applyFont="1" applyFill="1" applyBorder="1" applyAlignment="1">
      <alignment vertical="center"/>
    </xf>
    <xf numFmtId="0" fontId="1" fillId="3" borderId="15" xfId="0" applyFont="1" applyFill="1" applyBorder="1" applyAlignment="1">
      <alignment vertical="center"/>
    </xf>
    <xf numFmtId="9" fontId="7" fillId="0" borderId="0" xfId="2" applyFont="1" applyFill="1" applyBorder="1" applyAlignment="1" applyProtection="1">
      <alignment horizontal="center" vertical="center"/>
    </xf>
    <xf numFmtId="9" fontId="4" fillId="0" borderId="0" xfId="2" applyFont="1" applyFill="1" applyBorder="1" applyAlignment="1" applyProtection="1">
      <alignment horizontal="center" vertical="center"/>
    </xf>
    <xf numFmtId="2" fontId="10" fillId="0" borderId="0" xfId="0" applyNumberFormat="1" applyFont="1" applyAlignment="1">
      <alignment vertical="center"/>
    </xf>
    <xf numFmtId="4" fontId="0" fillId="0" borderId="0" xfId="1" applyNumberFormat="1" applyFont="1" applyAlignment="1" applyProtection="1">
      <alignment horizontal="center"/>
    </xf>
    <xf numFmtId="164" fontId="0" fillId="0" borderId="0" xfId="1" applyFont="1" applyProtection="1"/>
    <xf numFmtId="0" fontId="2" fillId="3" borderId="0" xfId="0" applyFont="1" applyFill="1" applyAlignment="1">
      <alignment horizontal="right" vertical="center"/>
    </xf>
    <xf numFmtId="0" fontId="0" fillId="0" borderId="9" xfId="0" applyBorder="1" applyAlignment="1">
      <alignment vertical="center"/>
    </xf>
    <xf numFmtId="0" fontId="1" fillId="0" borderId="12" xfId="0" applyFont="1" applyBorder="1" applyAlignment="1">
      <alignment horizontal="right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" fontId="0" fillId="0" borderId="13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9" fontId="7" fillId="5" borderId="13" xfId="2" applyFont="1" applyFill="1" applyBorder="1" applyAlignment="1" applyProtection="1">
      <alignment horizontal="center" vertical="center"/>
    </xf>
    <xf numFmtId="0" fontId="0" fillId="5" borderId="8" xfId="0" applyFill="1" applyBorder="1" applyAlignment="1">
      <alignment vertical="center"/>
    </xf>
    <xf numFmtId="0" fontId="0" fillId="5" borderId="9" xfId="0" applyFill="1" applyBorder="1" applyAlignment="1">
      <alignment vertical="center"/>
    </xf>
    <xf numFmtId="0" fontId="1" fillId="5" borderId="10" xfId="0" applyFont="1" applyFill="1" applyBorder="1" applyAlignment="1">
      <alignment horizontal="right" vertical="center"/>
    </xf>
    <xf numFmtId="0" fontId="0" fillId="5" borderId="10" xfId="0" applyFill="1" applyBorder="1" applyAlignment="1">
      <alignment vertical="center"/>
    </xf>
    <xf numFmtId="0" fontId="1" fillId="4" borderId="8" xfId="0" applyFont="1" applyFill="1" applyBorder="1" applyAlignment="1">
      <alignment vertical="center"/>
    </xf>
    <xf numFmtId="0" fontId="1" fillId="4" borderId="9" xfId="0" applyFont="1" applyFill="1" applyBorder="1" applyAlignment="1">
      <alignment vertical="center"/>
    </xf>
    <xf numFmtId="169" fontId="1" fillId="4" borderId="9" xfId="0" applyNumberFormat="1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vertical="center"/>
    </xf>
    <xf numFmtId="0" fontId="0" fillId="5" borderId="11" xfId="0" applyFill="1" applyBorder="1" applyAlignment="1">
      <alignment vertical="center"/>
    </xf>
    <xf numFmtId="0" fontId="0" fillId="5" borderId="0" xfId="0" applyFill="1" applyAlignment="1">
      <alignment vertical="center"/>
    </xf>
    <xf numFmtId="0" fontId="1" fillId="5" borderId="12" xfId="0" applyFont="1" applyFill="1" applyBorder="1" applyAlignment="1">
      <alignment horizontal="right" vertical="center"/>
    </xf>
    <xf numFmtId="0" fontId="0" fillId="5" borderId="12" xfId="0" applyFill="1" applyBorder="1" applyAlignment="1">
      <alignment vertical="center"/>
    </xf>
    <xf numFmtId="0" fontId="1" fillId="4" borderId="11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1" fillId="4" borderId="0" xfId="0" applyFont="1" applyFill="1" applyAlignment="1">
      <alignment horizontal="right" vertical="center"/>
    </xf>
    <xf numFmtId="0" fontId="0" fillId="5" borderId="12" xfId="0" applyFill="1" applyBorder="1" applyAlignment="1">
      <alignment horizontal="right" vertical="center"/>
    </xf>
    <xf numFmtId="0" fontId="1" fillId="4" borderId="13" xfId="0" applyFont="1" applyFill="1" applyBorder="1" applyAlignment="1">
      <alignment vertical="center"/>
    </xf>
    <xf numFmtId="0" fontId="0" fillId="4" borderId="14" xfId="0" applyFill="1" applyBorder="1" applyAlignment="1">
      <alignment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vertical="center"/>
    </xf>
    <xf numFmtId="0" fontId="0" fillId="3" borderId="9" xfId="0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1" fillId="3" borderId="12" xfId="0" applyFont="1" applyFill="1" applyBorder="1" applyAlignment="1">
      <alignment vertical="center"/>
    </xf>
    <xf numFmtId="169" fontId="1" fillId="3" borderId="14" xfId="0" applyNumberFormat="1" applyFont="1" applyFill="1" applyBorder="1" applyAlignment="1">
      <alignment horizontal="center" vertical="center"/>
    </xf>
    <xf numFmtId="0" fontId="0" fillId="5" borderId="13" xfId="0" applyFill="1" applyBorder="1" applyAlignment="1">
      <alignment vertical="center"/>
    </xf>
    <xf numFmtId="0" fontId="0" fillId="5" borderId="14" xfId="0" applyFill="1" applyBorder="1" applyAlignment="1">
      <alignment vertical="center"/>
    </xf>
    <xf numFmtId="0" fontId="1" fillId="5" borderId="15" xfId="0" applyFont="1" applyFill="1" applyBorder="1" applyAlignment="1">
      <alignment horizontal="right" vertical="center"/>
    </xf>
    <xf numFmtId="0" fontId="0" fillId="5" borderId="15" xfId="0" applyFill="1" applyBorder="1" applyAlignment="1">
      <alignment vertical="center"/>
    </xf>
    <xf numFmtId="0" fontId="2" fillId="0" borderId="0" xfId="0" applyFont="1" applyAlignment="1">
      <alignment vertical="center"/>
    </xf>
    <xf numFmtId="4" fontId="0" fillId="0" borderId="8" xfId="1" applyNumberFormat="1" applyFont="1" applyFill="1" applyBorder="1" applyAlignment="1" applyProtection="1">
      <alignment horizontal="center" vertical="center"/>
    </xf>
    <xf numFmtId="4" fontId="0" fillId="0" borderId="9" xfId="0" applyNumberFormat="1" applyBorder="1" applyAlignment="1">
      <alignment horizontal="center" vertical="center"/>
    </xf>
    <xf numFmtId="4" fontId="0" fillId="0" borderId="10" xfId="0" applyNumberFormat="1" applyBorder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4" fontId="0" fillId="0" borderId="11" xfId="1" applyNumberFormat="1" applyFont="1" applyFill="1" applyBorder="1" applyAlignment="1" applyProtection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0" borderId="12" xfId="0" applyNumberFormat="1" applyBorder="1" applyAlignment="1">
      <alignment horizontal="center" vertical="center"/>
    </xf>
    <xf numFmtId="4" fontId="0" fillId="0" borderId="11" xfId="0" applyNumberFormat="1" applyBorder="1" applyAlignment="1">
      <alignment horizontal="center" vertical="center"/>
    </xf>
    <xf numFmtId="4" fontId="0" fillId="0" borderId="14" xfId="0" applyNumberFormat="1" applyBorder="1" applyAlignment="1">
      <alignment horizontal="center" vertical="center"/>
    </xf>
    <xf numFmtId="4" fontId="0" fillId="0" borderId="15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13" xfId="0" applyFont="1" applyFill="1" applyBorder="1" applyAlignment="1">
      <alignment vertical="center"/>
    </xf>
    <xf numFmtId="0" fontId="2" fillId="4" borderId="14" xfId="0" applyFont="1" applyFill="1" applyBorder="1" applyAlignment="1">
      <alignment horizontal="right" vertical="center"/>
    </xf>
    <xf numFmtId="168" fontId="2" fillId="4" borderId="14" xfId="0" applyNumberFormat="1" applyFont="1" applyFill="1" applyBorder="1" applyAlignment="1">
      <alignment horizontal="left" vertical="center"/>
    </xf>
    <xf numFmtId="167" fontId="8" fillId="4" borderId="15" xfId="1" applyNumberFormat="1" applyFont="1" applyFill="1" applyBorder="1" applyAlignment="1" applyProtection="1">
      <alignment horizontal="center" vertical="center"/>
    </xf>
    <xf numFmtId="0" fontId="9" fillId="0" borderId="0" xfId="0" applyFont="1" applyAlignment="1">
      <alignment vertical="center"/>
    </xf>
    <xf numFmtId="164" fontId="2" fillId="0" borderId="9" xfId="1" applyFont="1" applyFill="1" applyBorder="1" applyAlignment="1" applyProtection="1">
      <alignment horizontal="right" vertical="center" wrapText="1"/>
    </xf>
    <xf numFmtId="0" fontId="9" fillId="6" borderId="9" xfId="0" applyFont="1" applyFill="1" applyBorder="1" applyAlignment="1">
      <alignment vertical="center"/>
    </xf>
    <xf numFmtId="164" fontId="1" fillId="0" borderId="0" xfId="1" applyFont="1" applyBorder="1" applyAlignment="1" applyProtection="1">
      <alignment horizontal="left" vertical="center"/>
    </xf>
    <xf numFmtId="0" fontId="0" fillId="0" borderId="8" xfId="0" applyBorder="1" applyAlignment="1">
      <alignment horizontal="center" vertical="center"/>
    </xf>
    <xf numFmtId="167" fontId="0" fillId="0" borderId="16" xfId="1" applyNumberFormat="1" applyFont="1" applyBorder="1" applyAlignment="1" applyProtection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7" fontId="0" fillId="0" borderId="17" xfId="1" applyNumberFormat="1" applyFont="1" applyBorder="1" applyAlignment="1" applyProtection="1">
      <alignment horizontal="center" vertical="center"/>
    </xf>
    <xf numFmtId="4" fontId="0" fillId="0" borderId="0" xfId="1" applyNumberFormat="1" applyFont="1" applyBorder="1" applyAlignment="1" applyProtection="1">
      <alignment horizontal="center" vertical="center"/>
    </xf>
    <xf numFmtId="0" fontId="0" fillId="0" borderId="13" xfId="0" applyBorder="1" applyAlignment="1">
      <alignment horizontal="center" vertical="center"/>
    </xf>
    <xf numFmtId="167" fontId="0" fillId="0" borderId="18" xfId="1" applyNumberFormat="1" applyFont="1" applyBorder="1" applyAlignment="1" applyProtection="1">
      <alignment horizontal="center" vertical="center"/>
    </xf>
    <xf numFmtId="4" fontId="0" fillId="0" borderId="14" xfId="1" applyNumberFormat="1" applyFont="1" applyBorder="1" applyAlignment="1" applyProtection="1">
      <alignment horizontal="center" vertical="center"/>
    </xf>
    <xf numFmtId="167" fontId="0" fillId="0" borderId="0" xfId="1" applyNumberFormat="1" applyFont="1" applyAlignment="1" applyProtection="1">
      <alignment horizontal="center" vertical="center"/>
    </xf>
    <xf numFmtId="165" fontId="0" fillId="0" borderId="0" xfId="1" applyNumberFormat="1" applyFont="1" applyAlignment="1" applyProtection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7" fontId="0" fillId="0" borderId="0" xfId="1" applyNumberFormat="1" applyFont="1" applyAlignment="1" applyProtection="1">
      <alignment vertical="center"/>
    </xf>
    <xf numFmtId="0" fontId="3" fillId="0" borderId="0" xfId="0" applyFont="1" applyAlignment="1">
      <alignment vertical="center"/>
    </xf>
    <xf numFmtId="167" fontId="0" fillId="0" borderId="0" xfId="2" applyNumberFormat="1" applyFont="1" applyAlignment="1" applyProtection="1">
      <alignment horizontal="left" vertical="center"/>
    </xf>
    <xf numFmtId="4" fontId="0" fillId="0" borderId="0" xfId="0" applyNumberFormat="1" applyAlignment="1">
      <alignment vertical="center"/>
    </xf>
    <xf numFmtId="4" fontId="1" fillId="0" borderId="11" xfId="0" applyNumberFormat="1" applyFont="1" applyBorder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4" fontId="1" fillId="0" borderId="12" xfId="0" applyNumberFormat="1" applyFont="1" applyBorder="1" applyAlignment="1">
      <alignment horizontal="center"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164" fontId="2" fillId="2" borderId="9" xfId="1" applyFont="1" applyFill="1" applyBorder="1" applyAlignment="1" applyProtection="1">
      <alignment horizontal="center" vertical="center" wrapText="1"/>
    </xf>
    <xf numFmtId="0" fontId="2" fillId="0" borderId="11" xfId="0" applyFont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3" borderId="14" xfId="0" applyFont="1" applyFill="1" applyBorder="1" applyAlignment="1">
      <alignment horizontal="right" vertical="center"/>
    </xf>
    <xf numFmtId="168" fontId="2" fillId="2" borderId="14" xfId="2" applyNumberFormat="1" applyFont="1" applyFill="1" applyBorder="1" applyAlignment="1" applyProtection="1">
      <alignment horizontal="left" vertical="center"/>
    </xf>
    <xf numFmtId="167" fontId="5" fillId="2" borderId="14" xfId="1" applyNumberFormat="1" applyFont="1" applyFill="1" applyBorder="1" applyAlignment="1" applyProtection="1">
      <alignment horizontal="center" vertical="center"/>
    </xf>
    <xf numFmtId="166" fontId="9" fillId="0" borderId="11" xfId="1" applyNumberFormat="1" applyFont="1" applyFill="1" applyBorder="1" applyAlignment="1" applyProtection="1">
      <alignment vertical="center"/>
    </xf>
    <xf numFmtId="165" fontId="9" fillId="0" borderId="0" xfId="1" applyNumberFormat="1" applyFont="1" applyFill="1" applyBorder="1" applyAlignment="1" applyProtection="1">
      <alignment vertical="center"/>
    </xf>
    <xf numFmtId="164" fontId="2" fillId="0" borderId="0" xfId="1" applyFont="1" applyBorder="1" applyAlignment="1" applyProtection="1">
      <alignment horizontal="left" vertical="center"/>
    </xf>
    <xf numFmtId="4" fontId="0" fillId="0" borderId="8" xfId="1" applyNumberFormat="1" applyFont="1" applyBorder="1" applyAlignment="1" applyProtection="1">
      <alignment horizontal="center" vertical="center"/>
    </xf>
    <xf numFmtId="4" fontId="0" fillId="0" borderId="9" xfId="1" applyNumberFormat="1" applyFont="1" applyBorder="1" applyAlignment="1" applyProtection="1">
      <alignment horizontal="center" vertical="center"/>
    </xf>
    <xf numFmtId="4" fontId="0" fillId="0" borderId="10" xfId="1" applyNumberFormat="1" applyFont="1" applyBorder="1" applyAlignment="1" applyProtection="1">
      <alignment horizontal="center" vertical="center"/>
    </xf>
    <xf numFmtId="4" fontId="0" fillId="0" borderId="11" xfId="1" applyNumberFormat="1" applyFont="1" applyBorder="1" applyAlignment="1" applyProtection="1">
      <alignment horizontal="center" vertical="center"/>
    </xf>
    <xf numFmtId="4" fontId="0" fillId="0" borderId="12" xfId="1" applyNumberFormat="1" applyFont="1" applyBorder="1" applyAlignment="1" applyProtection="1">
      <alignment horizontal="center" vertical="center"/>
    </xf>
    <xf numFmtId="4" fontId="0" fillId="0" borderId="13" xfId="1" applyNumberFormat="1" applyFont="1" applyBorder="1" applyAlignment="1" applyProtection="1">
      <alignment horizontal="center" vertical="center"/>
    </xf>
    <xf numFmtId="4" fontId="0" fillId="0" borderId="15" xfId="1" applyNumberFormat="1" applyFont="1" applyBorder="1" applyAlignment="1" applyProtection="1">
      <alignment horizontal="center" vertical="center"/>
    </xf>
    <xf numFmtId="4" fontId="0" fillId="0" borderId="0" xfId="1" applyNumberFormat="1" applyFont="1" applyAlignment="1" applyProtection="1">
      <alignment horizontal="center" vertical="center"/>
    </xf>
    <xf numFmtId="166" fontId="0" fillId="0" borderId="0" xfId="0" applyNumberFormat="1" applyAlignment="1">
      <alignment vertical="center"/>
    </xf>
    <xf numFmtId="166" fontId="0" fillId="0" borderId="0" xfId="0" applyNumberFormat="1"/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0" fillId="4" borderId="12" xfId="0" applyFill="1" applyBorder="1" applyAlignment="1">
      <alignment vertical="center"/>
    </xf>
    <xf numFmtId="4" fontId="2" fillId="0" borderId="1" xfId="0" applyNumberFormat="1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/>
    </xf>
    <xf numFmtId="4" fontId="2" fillId="0" borderId="3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" fontId="0" fillId="0" borderId="12" xfId="0" applyNumberFormat="1" applyBorder="1" applyAlignment="1">
      <alignment vertical="center"/>
    </xf>
    <xf numFmtId="4" fontId="0" fillId="0" borderId="8" xfId="0" applyNumberFormat="1" applyBorder="1" applyAlignment="1">
      <alignment horizontal="right" vertical="center" indent="1"/>
    </xf>
    <xf numFmtId="4" fontId="0" fillId="0" borderId="9" xfId="0" applyNumberFormat="1" applyBorder="1" applyAlignment="1">
      <alignment horizontal="right" vertical="center" indent="1"/>
    </xf>
    <xf numFmtId="4" fontId="0" fillId="0" borderId="10" xfId="0" applyNumberFormat="1" applyBorder="1" applyAlignment="1">
      <alignment horizontal="right" vertical="center" indent="1"/>
    </xf>
    <xf numFmtId="4" fontId="0" fillId="0" borderId="11" xfId="1" applyNumberFormat="1" applyFont="1" applyFill="1" applyBorder="1" applyAlignment="1" applyProtection="1">
      <alignment horizontal="right" vertical="center" indent="1"/>
    </xf>
    <xf numFmtId="4" fontId="0" fillId="0" borderId="0" xfId="0" applyNumberFormat="1" applyAlignment="1">
      <alignment horizontal="right" vertical="center" indent="1"/>
    </xf>
    <xf numFmtId="4" fontId="0" fillId="0" borderId="12" xfId="0" applyNumberFormat="1" applyBorder="1" applyAlignment="1">
      <alignment horizontal="right" vertical="center" indent="1"/>
    </xf>
    <xf numFmtId="4" fontId="0" fillId="0" borderId="11" xfId="0" applyNumberFormat="1" applyBorder="1" applyAlignment="1">
      <alignment horizontal="right" vertical="center" indent="1"/>
    </xf>
    <xf numFmtId="4" fontId="1" fillId="0" borderId="11" xfId="0" applyNumberFormat="1" applyFont="1" applyBorder="1" applyAlignment="1">
      <alignment horizontal="right" vertical="center" indent="1"/>
    </xf>
    <xf numFmtId="4" fontId="1" fillId="0" borderId="0" xfId="0" applyNumberFormat="1" applyFont="1" applyAlignment="1">
      <alignment horizontal="right" vertical="center" indent="1"/>
    </xf>
    <xf numFmtId="4" fontId="1" fillId="0" borderId="12" xfId="0" applyNumberFormat="1" applyFont="1" applyBorder="1" applyAlignment="1">
      <alignment horizontal="right" vertical="center" indent="1"/>
    </xf>
    <xf numFmtId="4" fontId="0" fillId="0" borderId="13" xfId="0" applyNumberFormat="1" applyBorder="1" applyAlignment="1">
      <alignment horizontal="right" vertical="center" indent="1"/>
    </xf>
    <xf numFmtId="4" fontId="0" fillId="0" borderId="14" xfId="0" applyNumberFormat="1" applyBorder="1" applyAlignment="1">
      <alignment horizontal="right" vertical="center" indent="1"/>
    </xf>
    <xf numFmtId="4" fontId="0" fillId="0" borderId="15" xfId="0" applyNumberFormat="1" applyBorder="1" applyAlignment="1">
      <alignment horizontal="right" vertical="center" indent="1"/>
    </xf>
    <xf numFmtId="4" fontId="0" fillId="0" borderId="1" xfId="0" applyNumberFormat="1" applyBorder="1" applyAlignment="1">
      <alignment horizontal="right" vertical="center" indent="1"/>
    </xf>
    <xf numFmtId="4" fontId="0" fillId="0" borderId="2" xfId="0" applyNumberFormat="1" applyBorder="1" applyAlignment="1">
      <alignment horizontal="right" vertical="center" indent="1"/>
    </xf>
    <xf numFmtId="4" fontId="0" fillId="0" borderId="3" xfId="0" applyNumberFormat="1" applyBorder="1" applyAlignment="1">
      <alignment horizontal="right" vertical="center" indent="1"/>
    </xf>
    <xf numFmtId="4" fontId="0" fillId="0" borderId="8" xfId="1" applyNumberFormat="1" applyFont="1" applyFill="1" applyBorder="1" applyAlignment="1" applyProtection="1">
      <alignment horizontal="right" vertical="center" indent="1"/>
    </xf>
    <xf numFmtId="170" fontId="1" fillId="0" borderId="0" xfId="1" applyNumberFormat="1" applyFont="1" applyFill="1" applyBorder="1" applyAlignment="1" applyProtection="1">
      <alignment vertical="center"/>
    </xf>
    <xf numFmtId="0" fontId="1" fillId="3" borderId="0" xfId="0" applyFont="1" applyFill="1" applyAlignment="1">
      <alignment vertical="center"/>
    </xf>
    <xf numFmtId="169" fontId="1" fillId="3" borderId="0" xfId="0" applyNumberFormat="1" applyFont="1" applyFill="1" applyAlignment="1">
      <alignment horizontal="center" vertical="center"/>
    </xf>
    <xf numFmtId="9" fontId="7" fillId="5" borderId="0" xfId="1" applyNumberFormat="1" applyFont="1" applyFill="1" applyBorder="1" applyAlignment="1" applyProtection="1">
      <alignment horizontal="center" vertical="center"/>
    </xf>
    <xf numFmtId="0" fontId="0" fillId="0" borderId="0" xfId="0" applyAlignment="1">
      <alignment vertical="top"/>
    </xf>
    <xf numFmtId="164" fontId="0" fillId="0" borderId="0" xfId="1" applyFont="1" applyAlignment="1" applyProtection="1">
      <alignment vertical="top"/>
    </xf>
    <xf numFmtId="0" fontId="6" fillId="0" borderId="8" xfId="0" applyFont="1" applyBorder="1" applyAlignment="1">
      <alignment vertical="top"/>
    </xf>
    <xf numFmtId="0" fontId="0" fillId="0" borderId="9" xfId="0" applyBorder="1" applyAlignment="1">
      <alignment vertical="top"/>
    </xf>
    <xf numFmtId="164" fontId="0" fillId="0" borderId="9" xfId="1" applyFont="1" applyFill="1" applyBorder="1" applyAlignment="1" applyProtection="1">
      <alignment vertical="top"/>
    </xf>
    <xf numFmtId="0" fontId="0" fillId="0" borderId="10" xfId="0" applyBorder="1" applyAlignment="1">
      <alignment vertical="top"/>
    </xf>
    <xf numFmtId="0" fontId="1" fillId="0" borderId="11" xfId="0" applyFont="1" applyBorder="1" applyAlignment="1">
      <alignment vertical="top"/>
    </xf>
    <xf numFmtId="164" fontId="0" fillId="0" borderId="0" xfId="1" applyFont="1" applyFill="1" applyBorder="1" applyAlignment="1" applyProtection="1">
      <alignment vertical="top"/>
    </xf>
    <xf numFmtId="0" fontId="0" fillId="0" borderId="12" xfId="0" applyBorder="1" applyAlignment="1">
      <alignment vertical="top"/>
    </xf>
    <xf numFmtId="0" fontId="1" fillId="0" borderId="0" xfId="0" applyFont="1" applyAlignment="1">
      <alignment vertical="top"/>
    </xf>
    <xf numFmtId="0" fontId="0" fillId="0" borderId="14" xfId="0" applyBorder="1" applyAlignment="1">
      <alignment vertical="top"/>
    </xf>
    <xf numFmtId="0" fontId="1" fillId="0" borderId="0" xfId="0" quotePrefix="1" applyFont="1" applyAlignment="1">
      <alignment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1" fillId="0" borderId="9" xfId="0" applyFont="1" applyBorder="1" applyAlignment="1">
      <alignment horizontal="right" vertical="top"/>
    </xf>
    <xf numFmtId="1" fontId="7" fillId="5" borderId="16" xfId="1" applyNumberFormat="1" applyFont="1" applyFill="1" applyBorder="1" applyAlignment="1" applyProtection="1">
      <alignment horizontal="center" vertical="top"/>
      <protection locked="0"/>
    </xf>
    <xf numFmtId="0" fontId="0" fillId="0" borderId="10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1" fillId="0" borderId="14" xfId="0" applyFont="1" applyBorder="1" applyAlignment="1">
      <alignment horizontal="right" vertical="top"/>
    </xf>
    <xf numFmtId="49" fontId="7" fillId="5" borderId="18" xfId="0" applyNumberFormat="1" applyFont="1" applyFill="1" applyBorder="1" applyAlignment="1" applyProtection="1">
      <alignment horizontal="center" vertical="top"/>
      <protection locked="0"/>
    </xf>
    <xf numFmtId="0" fontId="0" fillId="0" borderId="15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right" vertical="top"/>
    </xf>
    <xf numFmtId="9" fontId="7" fillId="0" borderId="17" xfId="0" applyNumberFormat="1" applyFont="1" applyBorder="1" applyAlignment="1">
      <alignment horizontal="center" vertical="top"/>
    </xf>
    <xf numFmtId="0" fontId="0" fillId="0" borderId="12" xfId="0" applyBorder="1" applyAlignment="1">
      <alignment horizontal="left" vertical="top"/>
    </xf>
    <xf numFmtId="9" fontId="0" fillId="0" borderId="0" xfId="0" applyNumberFormat="1" applyAlignment="1">
      <alignment vertical="top"/>
    </xf>
    <xf numFmtId="0" fontId="0" fillId="0" borderId="8" xfId="0" applyBorder="1" applyAlignment="1">
      <alignment vertical="top"/>
    </xf>
    <xf numFmtId="0" fontId="1" fillId="0" borderId="10" xfId="0" applyFont="1" applyBorder="1" applyAlignment="1">
      <alignment horizontal="right" vertical="top"/>
    </xf>
    <xf numFmtId="4" fontId="7" fillId="5" borderId="16" xfId="1" applyNumberFormat="1" applyFont="1" applyFill="1" applyBorder="1" applyAlignment="1" applyProtection="1">
      <alignment horizontal="center" vertical="top"/>
      <protection locked="0"/>
    </xf>
    <xf numFmtId="0" fontId="0" fillId="0" borderId="16" xfId="0" applyBorder="1" applyAlignment="1">
      <alignment vertical="top"/>
    </xf>
    <xf numFmtId="0" fontId="0" fillId="0" borderId="11" xfId="0" applyBorder="1" applyAlignment="1">
      <alignment vertical="top"/>
    </xf>
    <xf numFmtId="0" fontId="1" fillId="0" borderId="12" xfId="0" applyFont="1" applyBorder="1" applyAlignment="1">
      <alignment horizontal="right" vertical="top"/>
    </xf>
    <xf numFmtId="4" fontId="7" fillId="5" borderId="17" xfId="1" applyNumberFormat="1" applyFont="1" applyFill="1" applyBorder="1" applyAlignment="1" applyProtection="1">
      <alignment horizontal="center" vertical="top"/>
      <protection locked="0"/>
    </xf>
    <xf numFmtId="0" fontId="0" fillId="0" borderId="17" xfId="0" applyBorder="1" applyAlignment="1">
      <alignment vertical="top"/>
    </xf>
    <xf numFmtId="0" fontId="0" fillId="0" borderId="12" xfId="0" applyBorder="1" applyAlignment="1">
      <alignment horizontal="right" vertical="top"/>
    </xf>
    <xf numFmtId="3" fontId="7" fillId="5" borderId="17" xfId="1" applyNumberFormat="1" applyFont="1" applyFill="1" applyBorder="1" applyAlignment="1" applyProtection="1">
      <alignment horizontal="center" vertical="top"/>
      <protection locked="0"/>
    </xf>
    <xf numFmtId="0" fontId="0" fillId="0" borderId="13" xfId="0" applyBorder="1" applyAlignment="1">
      <alignment vertical="top"/>
    </xf>
    <xf numFmtId="0" fontId="1" fillId="0" borderId="15" xfId="0" applyFont="1" applyBorder="1" applyAlignment="1">
      <alignment horizontal="right" vertical="top"/>
    </xf>
    <xf numFmtId="9" fontId="7" fillId="5" borderId="18" xfId="2" applyFont="1" applyFill="1" applyBorder="1" applyAlignment="1" applyProtection="1">
      <alignment horizontal="center" vertical="top"/>
      <protection locked="0"/>
    </xf>
    <xf numFmtId="0" fontId="10" fillId="0" borderId="0" xfId="0" applyFont="1" applyAlignment="1">
      <alignment vertical="top"/>
    </xf>
    <xf numFmtId="0" fontId="0" fillId="0" borderId="10" xfId="0" applyBorder="1" applyAlignment="1">
      <alignment horizontal="right" vertical="top"/>
    </xf>
    <xf numFmtId="3" fontId="7" fillId="5" borderId="18" xfId="1" applyNumberFormat="1" applyFont="1" applyFill="1" applyBorder="1" applyAlignment="1" applyProtection="1">
      <alignment horizontal="center" vertical="top"/>
      <protection locked="0"/>
    </xf>
    <xf numFmtId="0" fontId="10" fillId="0" borderId="18" xfId="0" applyFont="1" applyBorder="1" applyAlignment="1">
      <alignment vertical="top"/>
    </xf>
    <xf numFmtId="2" fontId="10" fillId="0" borderId="0" xfId="0" applyNumberFormat="1" applyFont="1" applyAlignment="1">
      <alignment vertical="top"/>
    </xf>
    <xf numFmtId="9" fontId="7" fillId="0" borderId="0" xfId="2" applyFont="1" applyFill="1" applyBorder="1" applyAlignment="1" applyProtection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4" fontId="0" fillId="0" borderId="13" xfId="0" applyNumberFormat="1" applyBorder="1" applyAlignment="1">
      <alignment horizontal="center" vertical="top"/>
    </xf>
    <xf numFmtId="4" fontId="0" fillId="5" borderId="14" xfId="0" applyNumberFormat="1" applyFill="1" applyBorder="1" applyAlignment="1" applyProtection="1">
      <alignment horizontal="center" vertical="top"/>
      <protection locked="0"/>
    </xf>
    <xf numFmtId="4" fontId="0" fillId="5" borderId="15" xfId="0" applyNumberFormat="1" applyFill="1" applyBorder="1" applyAlignment="1" applyProtection="1">
      <alignment horizontal="center" vertical="top"/>
      <protection locked="0"/>
    </xf>
    <xf numFmtId="2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0" fontId="0" fillId="3" borderId="8" xfId="0" applyFill="1" applyBorder="1" applyAlignment="1">
      <alignment vertical="top"/>
    </xf>
    <xf numFmtId="0" fontId="1" fillId="3" borderId="9" xfId="0" applyFont="1" applyFill="1" applyBorder="1" applyAlignment="1">
      <alignment vertical="top"/>
    </xf>
    <xf numFmtId="0" fontId="0" fillId="3" borderId="9" xfId="0" applyFill="1" applyBorder="1" applyAlignment="1">
      <alignment vertical="top"/>
    </xf>
    <xf numFmtId="0" fontId="0" fillId="3" borderId="10" xfId="0" applyFill="1" applyBorder="1" applyAlignment="1">
      <alignment vertical="top"/>
    </xf>
    <xf numFmtId="0" fontId="1" fillId="3" borderId="8" xfId="0" applyFont="1" applyFill="1" applyBorder="1" applyAlignment="1">
      <alignment vertical="top"/>
    </xf>
    <xf numFmtId="0" fontId="2" fillId="3" borderId="11" xfId="0" applyFont="1" applyFill="1" applyBorder="1" applyAlignment="1">
      <alignment vertical="top"/>
    </xf>
    <xf numFmtId="0" fontId="2" fillId="3" borderId="0" xfId="0" applyFont="1" applyFill="1" applyAlignment="1">
      <alignment horizontal="right" vertical="top"/>
    </xf>
    <xf numFmtId="167" fontId="10" fillId="3" borderId="0" xfId="1" applyNumberFormat="1" applyFont="1" applyFill="1" applyBorder="1" applyAlignment="1" applyProtection="1">
      <alignment horizontal="left" vertical="top"/>
    </xf>
    <xf numFmtId="167" fontId="10" fillId="3" borderId="12" xfId="1" applyNumberFormat="1" applyFont="1" applyFill="1" applyBorder="1" applyAlignment="1" applyProtection="1">
      <alignment vertical="top"/>
    </xf>
    <xf numFmtId="0" fontId="1" fillId="3" borderId="11" xfId="0" applyFont="1" applyFill="1" applyBorder="1" applyAlignment="1">
      <alignment vertical="top"/>
    </xf>
    <xf numFmtId="168" fontId="10" fillId="3" borderId="12" xfId="1" applyNumberFormat="1" applyFont="1" applyFill="1" applyBorder="1" applyAlignment="1" applyProtection="1">
      <alignment horizontal="left" vertical="top"/>
    </xf>
    <xf numFmtId="0" fontId="0" fillId="3" borderId="13" xfId="0" applyFill="1" applyBorder="1" applyAlignment="1">
      <alignment vertical="top"/>
    </xf>
    <xf numFmtId="0" fontId="1" fillId="3" borderId="14" xfId="0" applyFont="1" applyFill="1" applyBorder="1" applyAlignment="1">
      <alignment vertical="top"/>
    </xf>
    <xf numFmtId="0" fontId="1" fillId="3" borderId="15" xfId="0" applyFont="1" applyFill="1" applyBorder="1" applyAlignment="1">
      <alignment vertical="top"/>
    </xf>
    <xf numFmtId="0" fontId="1" fillId="3" borderId="13" xfId="0" applyFont="1" applyFill="1" applyBorder="1" applyAlignment="1">
      <alignment vertical="top"/>
    </xf>
    <xf numFmtId="0" fontId="6" fillId="0" borderId="16" xfId="0" applyFont="1" applyBorder="1" applyAlignment="1">
      <alignment vertical="top"/>
    </xf>
    <xf numFmtId="0" fontId="6" fillId="0" borderId="18" xfId="0" applyFont="1" applyBorder="1" applyAlignment="1">
      <alignment vertical="top"/>
    </xf>
    <xf numFmtId="0" fontId="16" fillId="0" borderId="0" xfId="0" applyFont="1" applyAlignment="1">
      <alignment vertical="top"/>
    </xf>
    <xf numFmtId="14" fontId="16" fillId="0" borderId="0" xfId="0" applyNumberFormat="1" applyFont="1" applyAlignment="1">
      <alignment vertical="top"/>
    </xf>
    <xf numFmtId="0" fontId="17" fillId="0" borderId="7" xfId="0" applyFont="1" applyBorder="1" applyAlignment="1">
      <alignment vertical="top"/>
    </xf>
    <xf numFmtId="14" fontId="17" fillId="0" borderId="7" xfId="0" applyNumberFormat="1" applyFont="1" applyBorder="1" applyAlignment="1">
      <alignment vertical="top"/>
    </xf>
    <xf numFmtId="0" fontId="16" fillId="0" borderId="7" xfId="0" applyFont="1" applyBorder="1" applyAlignment="1">
      <alignment vertical="top"/>
    </xf>
    <xf numFmtId="14" fontId="16" fillId="0" borderId="7" xfId="0" applyNumberFormat="1" applyFont="1" applyBorder="1" applyAlignment="1">
      <alignment vertical="top"/>
    </xf>
    <xf numFmtId="0" fontId="16" fillId="0" borderId="7" xfId="0" applyFont="1" applyBorder="1" applyAlignment="1">
      <alignment vertical="top" wrapText="1"/>
    </xf>
    <xf numFmtId="0" fontId="1" fillId="0" borderId="7" xfId="0" applyFont="1" applyBorder="1" applyAlignment="1">
      <alignment vertical="top"/>
    </xf>
    <xf numFmtId="0" fontId="1" fillId="0" borderId="7" xfId="0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6" fillId="3" borderId="1" xfId="0" applyFont="1" applyFill="1" applyBorder="1" applyAlignment="1">
      <alignment horizontal="center" vertical="top"/>
    </xf>
    <xf numFmtId="0" fontId="6" fillId="3" borderId="2" xfId="0" applyFont="1" applyFill="1" applyBorder="1" applyAlignment="1">
      <alignment horizontal="center" vertical="top"/>
    </xf>
    <xf numFmtId="0" fontId="6" fillId="3" borderId="3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1" fillId="0" borderId="1" xfId="0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0" fontId="1" fillId="0" borderId="3" xfId="0" applyFont="1" applyBorder="1" applyAlignment="1">
      <alignment horizontal="right" vertical="top"/>
    </xf>
    <xf numFmtId="4" fontId="11" fillId="0" borderId="11" xfId="1" quotePrefix="1" applyNumberFormat="1" applyFont="1" applyFill="1" applyBorder="1" applyAlignment="1" applyProtection="1">
      <alignment horizontal="left" vertical="top" wrapText="1"/>
    </xf>
    <xf numFmtId="4" fontId="11" fillId="0" borderId="0" xfId="1" quotePrefix="1" applyNumberFormat="1" applyFont="1" applyFill="1" applyBorder="1" applyAlignment="1" applyProtection="1">
      <alignment horizontal="left" vertical="top" wrapText="1"/>
    </xf>
    <xf numFmtId="4" fontId="11" fillId="0" borderId="12" xfId="1" quotePrefix="1" applyNumberFormat="1" applyFont="1" applyFill="1" applyBorder="1" applyAlignment="1" applyProtection="1">
      <alignment horizontal="left" vertical="top" wrapText="1"/>
    </xf>
    <xf numFmtId="0" fontId="1" fillId="0" borderId="13" xfId="0" quotePrefix="1" applyFont="1" applyBorder="1" applyAlignment="1">
      <alignment horizontal="left" vertical="top" wrapText="1"/>
    </xf>
    <xf numFmtId="0" fontId="1" fillId="0" borderId="14" xfId="0" quotePrefix="1" applyFont="1" applyBorder="1" applyAlignment="1">
      <alignment horizontal="left" vertical="top" wrapText="1"/>
    </xf>
    <xf numFmtId="0" fontId="1" fillId="0" borderId="15" xfId="0" quotePrefix="1" applyFont="1" applyBorder="1" applyAlignment="1">
      <alignment horizontal="left" vertical="top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right" vertical="center"/>
    </xf>
    <xf numFmtId="167" fontId="10" fillId="3" borderId="2" xfId="1" applyNumberFormat="1" applyFont="1" applyFill="1" applyBorder="1" applyAlignment="1" applyProtection="1">
      <alignment horizontal="center" vertical="center"/>
    </xf>
    <xf numFmtId="167" fontId="10" fillId="3" borderId="3" xfId="1" applyNumberFormat="1" applyFont="1" applyFill="1" applyBorder="1" applyAlignment="1" applyProtection="1">
      <alignment horizontal="center" vertical="center"/>
    </xf>
    <xf numFmtId="0" fontId="1" fillId="0" borderId="8" xfId="0" applyFont="1" applyBorder="1" applyAlignment="1">
      <alignment horizontal="right" vertical="center"/>
    </xf>
    <xf numFmtId="0" fontId="1" fillId="0" borderId="9" xfId="0" applyFont="1" applyBorder="1" applyAlignment="1">
      <alignment horizontal="right" vertical="center"/>
    </xf>
    <xf numFmtId="0" fontId="1" fillId="0" borderId="10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right" vertical="center"/>
    </xf>
    <xf numFmtId="167" fontId="10" fillId="4" borderId="0" xfId="1" applyNumberFormat="1" applyFont="1" applyFill="1" applyBorder="1" applyAlignment="1" applyProtection="1">
      <alignment horizontal="center" vertical="center"/>
    </xf>
    <xf numFmtId="167" fontId="10" fillId="4" borderId="12" xfId="1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7" fontId="10" fillId="4" borderId="2" xfId="1" applyNumberFormat="1" applyFont="1" applyFill="1" applyBorder="1" applyAlignment="1" applyProtection="1">
      <alignment horizontal="center" vertical="center"/>
    </xf>
    <xf numFmtId="167" fontId="10" fillId="4" borderId="3" xfId="1" applyNumberFormat="1" applyFont="1" applyFill="1" applyBorder="1" applyAlignment="1" applyProtection="1">
      <alignment horizontal="center" vertical="center"/>
    </xf>
    <xf numFmtId="167" fontId="10" fillId="3" borderId="0" xfId="1" applyNumberFormat="1" applyFont="1" applyFill="1" applyBorder="1" applyAlignment="1" applyProtection="1">
      <alignment horizontal="center" vertical="center"/>
    </xf>
    <xf numFmtId="167" fontId="10" fillId="3" borderId="12" xfId="1" applyNumberFormat="1" applyFont="1" applyFill="1" applyBorder="1" applyAlignment="1" applyProtection="1">
      <alignment horizontal="center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2" fillId="4" borderId="8" xfId="0" applyFont="1" applyFill="1" applyBorder="1" applyAlignment="1">
      <alignment horizontal="left" vertical="center" wrapText="1"/>
    </xf>
    <xf numFmtId="0" fontId="2" fillId="4" borderId="9" xfId="0" applyFont="1" applyFill="1" applyBorder="1" applyAlignment="1">
      <alignment horizontal="left" vertical="center" wrapText="1"/>
    </xf>
    <xf numFmtId="0" fontId="2" fillId="4" borderId="10" xfId="0" applyFont="1" applyFill="1" applyBorder="1" applyAlignment="1">
      <alignment horizontal="left" vertical="center" wrapText="1"/>
    </xf>
    <xf numFmtId="0" fontId="0" fillId="0" borderId="14" xfId="0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164" fontId="1" fillId="0" borderId="7" xfId="1" applyFont="1" applyBorder="1" applyAlignment="1" applyProtection="1">
      <alignment horizontal="center" vertical="center" wrapText="1"/>
    </xf>
    <xf numFmtId="167" fontId="1" fillId="0" borderId="7" xfId="1" applyNumberFormat="1" applyFont="1" applyBorder="1" applyAlignment="1" applyProtection="1">
      <alignment horizontal="center" vertical="center" wrapText="1"/>
    </xf>
  </cellXfs>
  <cellStyles count="3">
    <cellStyle name="Komma" xfId="1" builtinId="3"/>
    <cellStyle name="Procent" xfId="2" builtinId="5"/>
    <cellStyle name="Standaard" xfId="0" builtinId="0"/>
  </cellStyles>
  <dxfs count="33">
    <dxf>
      <font>
        <b/>
        <i val="0"/>
        <strike val="0"/>
        <color theme="1"/>
      </font>
    </dxf>
    <dxf>
      <font>
        <b/>
        <i val="0"/>
        <strike val="0"/>
        <color rgb="FFFF0000"/>
      </font>
    </dxf>
    <dxf>
      <font>
        <b/>
        <i val="0"/>
        <strike val="0"/>
        <color theme="1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strike val="0"/>
        <color theme="1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theme="1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strike val="0"/>
        <color theme="1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theme="1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strike val="0"/>
        <color theme="1"/>
      </font>
    </dxf>
    <dxf>
      <font>
        <b/>
        <i val="0"/>
        <strike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FF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</dxf>
    <dxf>
      <font>
        <b/>
        <i val="0"/>
        <strike val="0"/>
        <color theme="1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0000FF"/>
      <color rgb="FFFFFFCC"/>
      <color rgb="FFFFFF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Zeebroek Paul" id="{39A6D80C-B908-497D-9880-94D85E71ADE4}" userId="S::paul.zeebroek@vlaanderen.be::2e46cacf-40b7-404e-81f7-36d492883c0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4" dT="2026-04-16T12:44:52.16" personId="{39A6D80C-B908-497D-9880-94D85E71ADE4}" id="{459D3717-3E68-49C5-B6C7-FB6BBA9BE499}">
    <text>IRR op 1 cijfer na de komma. Waarden tussen 12,9% en kleiner dan 13% worden weergegeven als 12,9% om aan te tonen dat de IRR kleiner is dan 13%. Waarden groter dan 13% en kleiner dan 13,1% worden aangegeven als 13,1% om aan te tonen dat de IRR groter is dan 13%.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B2DA9-0F28-49B1-8438-9143D442CCB4}">
  <dimension ref="B1:AN41"/>
  <sheetViews>
    <sheetView tabSelected="1" topLeftCell="B1" zoomScale="85" zoomScaleNormal="85" workbookViewId="0">
      <selection activeCell="E13" sqref="E13"/>
    </sheetView>
  </sheetViews>
  <sheetFormatPr defaultColWidth="9.140625" defaultRowHeight="13.15"/>
  <cols>
    <col min="1" max="1" width="5.140625" style="157" customWidth="1"/>
    <col min="2" max="2" width="13.140625" style="157" customWidth="1"/>
    <col min="3" max="3" width="6.5703125" style="157" customWidth="1"/>
    <col min="4" max="4" width="19.140625" style="157" customWidth="1"/>
    <col min="5" max="5" width="16.85546875" style="158" customWidth="1"/>
    <col min="6" max="6" width="18.28515625" style="157" customWidth="1"/>
    <col min="7" max="7" width="12.28515625" style="157" customWidth="1"/>
    <col min="8" max="8" width="10.7109375" style="157" customWidth="1"/>
    <col min="9" max="9" width="14" style="157" customWidth="1"/>
    <col min="10" max="12" width="10.7109375" style="157" customWidth="1"/>
    <col min="13" max="13" width="13" style="157" bestFit="1" customWidth="1"/>
    <col min="14" max="14" width="10.7109375" style="157" customWidth="1"/>
    <col min="15" max="15" width="18.42578125" style="157" customWidth="1"/>
    <col min="16" max="23" width="10.7109375" style="157" customWidth="1"/>
    <col min="24" max="30" width="11.140625" style="157" customWidth="1"/>
    <col min="31" max="16384" width="9.140625" style="157"/>
  </cols>
  <sheetData>
    <row r="1" spans="2:24" ht="9" customHeight="1" thickBot="1"/>
    <row r="2" spans="2:24" ht="25.5" customHeight="1" thickBot="1">
      <c r="B2" s="247" t="s">
        <v>0</v>
      </c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9"/>
    </row>
    <row r="4" spans="2:24">
      <c r="B4" s="236" t="s">
        <v>1</v>
      </c>
      <c r="C4" s="237" t="s">
        <v>2</v>
      </c>
      <c r="D4" s="166"/>
      <c r="E4" s="166"/>
      <c r="F4" s="166"/>
      <c r="G4" s="166"/>
      <c r="H4" s="166"/>
      <c r="I4" s="166"/>
      <c r="J4" s="166"/>
      <c r="K4" s="166"/>
    </row>
    <row r="5" spans="2:24" ht="20.100000000000001" customHeight="1">
      <c r="B5" s="159" t="s">
        <v>3</v>
      </c>
      <c r="C5" s="160"/>
      <c r="D5" s="160"/>
      <c r="E5" s="161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2"/>
    </row>
    <row r="6" spans="2:24" ht="6.75" customHeight="1">
      <c r="B6" s="163"/>
      <c r="E6" s="164"/>
      <c r="U6" s="165"/>
    </row>
    <row r="7" spans="2:24">
      <c r="B7" s="163" t="s">
        <v>4</v>
      </c>
      <c r="C7" s="166"/>
      <c r="D7" s="166"/>
      <c r="E7" s="166"/>
      <c r="F7" s="166"/>
      <c r="G7" s="166"/>
      <c r="H7" s="166"/>
      <c r="I7" s="166"/>
      <c r="J7" s="166"/>
      <c r="K7" s="166"/>
      <c r="U7" s="165"/>
    </row>
    <row r="8" spans="2:24" ht="26.45" customHeight="1">
      <c r="B8" s="253" t="s">
        <v>5</v>
      </c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4"/>
      <c r="Q8" s="254"/>
      <c r="R8" s="254"/>
      <c r="S8" s="254"/>
      <c r="T8" s="254"/>
      <c r="U8" s="255"/>
    </row>
    <row r="9" spans="2:24" ht="26.45" customHeight="1">
      <c r="B9" s="256" t="s">
        <v>6</v>
      </c>
      <c r="C9" s="257"/>
      <c r="D9" s="257"/>
      <c r="E9" s="257"/>
      <c r="F9" s="257"/>
      <c r="G9" s="257"/>
      <c r="H9" s="257"/>
      <c r="I9" s="257"/>
      <c r="J9" s="257"/>
      <c r="K9" s="257"/>
      <c r="L9" s="257"/>
      <c r="M9" s="257"/>
      <c r="N9" s="257"/>
      <c r="O9" s="257"/>
      <c r="P9" s="257"/>
      <c r="Q9" s="257"/>
      <c r="R9" s="257"/>
      <c r="S9" s="257"/>
      <c r="T9" s="257"/>
      <c r="U9" s="258"/>
    </row>
    <row r="10" spans="2:24">
      <c r="B10" s="166"/>
      <c r="C10" s="166"/>
      <c r="D10" s="166"/>
      <c r="E10" s="166"/>
      <c r="F10" s="166"/>
      <c r="G10" s="166"/>
      <c r="H10" s="166"/>
      <c r="I10" s="166"/>
      <c r="J10" s="166"/>
      <c r="K10" s="166"/>
    </row>
    <row r="11" spans="2:24">
      <c r="E11" s="164"/>
    </row>
    <row r="12" spans="2:24" ht="20.100000000000001" customHeight="1">
      <c r="B12" s="238" t="s">
        <v>7</v>
      </c>
      <c r="C12" s="239"/>
      <c r="D12" s="239"/>
      <c r="E12" s="239"/>
      <c r="F12" s="240"/>
      <c r="X12" s="168"/>
    </row>
    <row r="13" spans="2:24">
      <c r="B13" s="169"/>
      <c r="C13" s="170"/>
      <c r="D13" s="171" t="s">
        <v>8</v>
      </c>
      <c r="E13" s="172"/>
      <c r="F13" s="173"/>
    </row>
    <row r="14" spans="2:24">
      <c r="B14" s="174"/>
      <c r="C14" s="175"/>
      <c r="D14" s="176" t="s">
        <v>9</v>
      </c>
      <c r="E14" s="177"/>
      <c r="F14" s="178"/>
    </row>
    <row r="15" spans="2:24">
      <c r="B15" s="179"/>
      <c r="C15" s="180"/>
      <c r="D15" s="181" t="s">
        <v>10</v>
      </c>
      <c r="E15" s="182" t="str">
        <f>IF(OR(E13="",E14=""),"",IF(AND(E13=2025,E14="geen KO"),0.3,0.4))</f>
        <v/>
      </c>
      <c r="F15" s="183"/>
      <c r="H15" s="184"/>
    </row>
    <row r="16" spans="2:24">
      <c r="B16" s="185"/>
      <c r="C16" s="160"/>
      <c r="D16" s="186" t="s">
        <v>11</v>
      </c>
      <c r="E16" s="187">
        <v>100</v>
      </c>
      <c r="F16" s="188" t="s">
        <v>12</v>
      </c>
    </row>
    <row r="17" spans="2:40">
      <c r="B17" s="189"/>
      <c r="D17" s="190" t="s">
        <v>13</v>
      </c>
      <c r="E17" s="191">
        <v>0</v>
      </c>
      <c r="F17" s="192" t="s">
        <v>12</v>
      </c>
    </row>
    <row r="18" spans="2:40">
      <c r="B18" s="189"/>
      <c r="D18" s="193" t="s">
        <v>14</v>
      </c>
      <c r="E18" s="194">
        <v>10</v>
      </c>
      <c r="F18" s="192" t="s">
        <v>15</v>
      </c>
    </row>
    <row r="19" spans="2:40">
      <c r="B19" s="189"/>
      <c r="D19" s="190" t="s">
        <v>16</v>
      </c>
      <c r="E19" s="191">
        <v>0</v>
      </c>
      <c r="F19" s="192" t="s">
        <v>12</v>
      </c>
    </row>
    <row r="20" spans="2:40">
      <c r="B20" s="189"/>
      <c r="D20" s="190" t="s">
        <v>17</v>
      </c>
      <c r="E20" s="194">
        <v>5</v>
      </c>
      <c r="F20" s="192" t="s">
        <v>15</v>
      </c>
    </row>
    <row r="21" spans="2:40">
      <c r="B21" s="195"/>
      <c r="C21" s="167"/>
      <c r="D21" s="196" t="s">
        <v>18</v>
      </c>
      <c r="E21" s="197">
        <v>0.25</v>
      </c>
      <c r="F21" s="192"/>
      <c r="G21" s="198" t="str">
        <f>IF(E21&lt;&gt;0.25,"Opgepast ! Aangepaste vennootschapsbelasting !","")</f>
        <v/>
      </c>
      <c r="R21" s="166"/>
      <c r="S21" s="166"/>
      <c r="V21" s="166"/>
    </row>
    <row r="22" spans="2:40">
      <c r="B22" s="185"/>
      <c r="C22" s="160"/>
      <c r="D22" s="199" t="s">
        <v>19</v>
      </c>
      <c r="E22" s="187">
        <v>20</v>
      </c>
      <c r="F22" s="192" t="s">
        <v>12</v>
      </c>
    </row>
    <row r="23" spans="2:40">
      <c r="B23" s="195"/>
      <c r="C23" s="167"/>
      <c r="D23" s="196" t="s">
        <v>20</v>
      </c>
      <c r="E23" s="200" t="s">
        <v>21</v>
      </c>
      <c r="F23" s="201" t="str">
        <f>IF(E23="nee","(*)","")</f>
        <v/>
      </c>
      <c r="K23" s="166"/>
      <c r="L23" s="166"/>
      <c r="O23" s="166"/>
    </row>
    <row r="24" spans="2:40">
      <c r="B24" s="202" t="str">
        <f>IF(E23="ja","","(*) Indien de netto-besparingen van jaar tot jaar verschillen: vul in rij 26 de correcte netto besparingen gedurende de levensduur in voor de jaren 2 tem " &amp; Levensduur &amp; " (vakjes met gele achtergrond).")</f>
        <v/>
      </c>
      <c r="E24" s="203"/>
      <c r="K24" s="166"/>
      <c r="L24" s="166"/>
      <c r="O24" s="166"/>
    </row>
    <row r="25" spans="2:40">
      <c r="B25" s="202"/>
      <c r="E25" s="203"/>
      <c r="R25" s="166"/>
      <c r="S25" s="166"/>
      <c r="V25" s="166"/>
    </row>
    <row r="26" spans="2:40">
      <c r="F26" s="244" t="s">
        <v>22</v>
      </c>
      <c r="G26" s="245"/>
      <c r="H26" s="245"/>
      <c r="I26" s="245"/>
      <c r="J26" s="245"/>
      <c r="K26" s="245"/>
      <c r="L26" s="245"/>
      <c r="M26" s="245"/>
      <c r="N26" s="245"/>
      <c r="O26" s="245"/>
      <c r="P26" s="245"/>
      <c r="Q26" s="245"/>
      <c r="R26" s="245"/>
      <c r="S26" s="245"/>
      <c r="T26" s="245"/>
      <c r="U26" s="245"/>
      <c r="V26" s="245"/>
      <c r="W26" s="245"/>
      <c r="X26" s="245"/>
      <c r="Y26" s="245"/>
      <c r="Z26" s="245"/>
      <c r="AA26" s="245"/>
      <c r="AB26" s="245"/>
      <c r="AC26" s="245"/>
      <c r="AD26" s="246"/>
    </row>
    <row r="27" spans="2:40">
      <c r="F27" s="204">
        <v>1</v>
      </c>
      <c r="G27" s="205">
        <f t="shared" ref="G27" si="0">F27+1</f>
        <v>2</v>
      </c>
      <c r="H27" s="205">
        <f t="shared" ref="H27" si="1">G27+1</f>
        <v>3</v>
      </c>
      <c r="I27" s="205">
        <f t="shared" ref="I27" si="2">H27+1</f>
        <v>4</v>
      </c>
      <c r="J27" s="205">
        <f t="shared" ref="J27" si="3">I27+1</f>
        <v>5</v>
      </c>
      <c r="K27" s="205">
        <f t="shared" ref="K27" si="4">J27+1</f>
        <v>6</v>
      </c>
      <c r="L27" s="205">
        <f t="shared" ref="L27" si="5">K27+1</f>
        <v>7</v>
      </c>
      <c r="M27" s="205">
        <f t="shared" ref="M27" si="6">L27+1</f>
        <v>8</v>
      </c>
      <c r="N27" s="205">
        <f t="shared" ref="N27" si="7">M27+1</f>
        <v>9</v>
      </c>
      <c r="O27" s="205">
        <f t="shared" ref="O27" si="8">N27+1</f>
        <v>10</v>
      </c>
      <c r="P27" s="205">
        <f t="shared" ref="P27" si="9">O27+1</f>
        <v>11</v>
      </c>
      <c r="Q27" s="205">
        <f t="shared" ref="Q27" si="10">P27+1</f>
        <v>12</v>
      </c>
      <c r="R27" s="205">
        <f t="shared" ref="R27" si="11">Q27+1</f>
        <v>13</v>
      </c>
      <c r="S27" s="205">
        <f t="shared" ref="S27" si="12">R27+1</f>
        <v>14</v>
      </c>
      <c r="T27" s="205">
        <f t="shared" ref="T27" si="13">S27+1</f>
        <v>15</v>
      </c>
      <c r="U27" s="205">
        <f t="shared" ref="U27" si="14">T27+1</f>
        <v>16</v>
      </c>
      <c r="V27" s="205">
        <f t="shared" ref="V27" si="15">U27+1</f>
        <v>17</v>
      </c>
      <c r="W27" s="205">
        <f t="shared" ref="W27" si="16">V27+1</f>
        <v>18</v>
      </c>
      <c r="X27" s="205">
        <f t="shared" ref="X27" si="17">W27+1</f>
        <v>19</v>
      </c>
      <c r="Y27" s="205">
        <f t="shared" ref="Y27" si="18">X27+1</f>
        <v>20</v>
      </c>
      <c r="Z27" s="205">
        <f t="shared" ref="Z27" si="19">Y27+1</f>
        <v>21</v>
      </c>
      <c r="AA27" s="205">
        <f t="shared" ref="AA27" si="20">Z27+1</f>
        <v>22</v>
      </c>
      <c r="AB27" s="205">
        <f t="shared" ref="AB27" si="21">AA27+1</f>
        <v>23</v>
      </c>
      <c r="AC27" s="205">
        <f t="shared" ref="AC27" si="22">AB27+1</f>
        <v>24</v>
      </c>
      <c r="AD27" s="206">
        <f t="shared" ref="AD27" si="23">AC27+1</f>
        <v>25</v>
      </c>
    </row>
    <row r="28" spans="2:40">
      <c r="C28" s="250" t="s">
        <v>23</v>
      </c>
      <c r="D28" s="251"/>
      <c r="E28" s="252"/>
      <c r="F28" s="207">
        <f>$E$22</f>
        <v>20</v>
      </c>
      <c r="G28" s="208">
        <f t="shared" ref="G28:AD28" si="24">IF($E$23="ja",IF($E$18+1-G27&gt;0,$E$22,0),IF($E$18+1-G27&gt;0,"invullen!",0))</f>
        <v>20</v>
      </c>
      <c r="H28" s="208">
        <f t="shared" si="24"/>
        <v>20</v>
      </c>
      <c r="I28" s="208">
        <f t="shared" si="24"/>
        <v>20</v>
      </c>
      <c r="J28" s="208">
        <f t="shared" si="24"/>
        <v>20</v>
      </c>
      <c r="K28" s="208">
        <f t="shared" si="24"/>
        <v>20</v>
      </c>
      <c r="L28" s="208">
        <f t="shared" si="24"/>
        <v>20</v>
      </c>
      <c r="M28" s="208">
        <f t="shared" si="24"/>
        <v>20</v>
      </c>
      <c r="N28" s="208">
        <f t="shared" si="24"/>
        <v>20</v>
      </c>
      <c r="O28" s="208">
        <f t="shared" si="24"/>
        <v>20</v>
      </c>
      <c r="P28" s="208">
        <f t="shared" si="24"/>
        <v>0</v>
      </c>
      <c r="Q28" s="208">
        <f t="shared" si="24"/>
        <v>0</v>
      </c>
      <c r="R28" s="208">
        <f t="shared" si="24"/>
        <v>0</v>
      </c>
      <c r="S28" s="208">
        <f t="shared" si="24"/>
        <v>0</v>
      </c>
      <c r="T28" s="208">
        <f t="shared" si="24"/>
        <v>0</v>
      </c>
      <c r="U28" s="208">
        <f t="shared" si="24"/>
        <v>0</v>
      </c>
      <c r="V28" s="208">
        <f t="shared" si="24"/>
        <v>0</v>
      </c>
      <c r="W28" s="208">
        <f t="shared" si="24"/>
        <v>0</v>
      </c>
      <c r="X28" s="208">
        <f t="shared" si="24"/>
        <v>0</v>
      </c>
      <c r="Y28" s="208">
        <f t="shared" si="24"/>
        <v>0</v>
      </c>
      <c r="Z28" s="208">
        <f t="shared" si="24"/>
        <v>0</v>
      </c>
      <c r="AA28" s="208">
        <f t="shared" si="24"/>
        <v>0</v>
      </c>
      <c r="AB28" s="208">
        <f t="shared" si="24"/>
        <v>0</v>
      </c>
      <c r="AC28" s="208">
        <f t="shared" si="24"/>
        <v>0</v>
      </c>
      <c r="AD28" s="209">
        <f t="shared" si="24"/>
        <v>0</v>
      </c>
      <c r="AE28" s="210"/>
      <c r="AF28" s="210"/>
      <c r="AG28" s="210"/>
      <c r="AH28" s="210"/>
      <c r="AI28" s="210"/>
      <c r="AJ28" s="210"/>
      <c r="AK28" s="210"/>
      <c r="AL28" s="210"/>
      <c r="AM28" s="210"/>
      <c r="AN28" s="210"/>
    </row>
    <row r="30" spans="2:40">
      <c r="L30" s="211"/>
    </row>
    <row r="33" spans="2:22" ht="15.6">
      <c r="B33" s="241" t="s">
        <v>24</v>
      </c>
      <c r="C33" s="242"/>
      <c r="D33" s="242"/>
      <c r="E33" s="243"/>
      <c r="G33" s="241" t="s">
        <v>25</v>
      </c>
      <c r="H33" s="242"/>
      <c r="I33" s="243"/>
      <c r="J33" s="158"/>
    </row>
    <row r="34" spans="2:22">
      <c r="E34" s="157"/>
      <c r="J34" s="158"/>
    </row>
    <row r="35" spans="2:22">
      <c r="B35" s="212"/>
      <c r="C35" s="213"/>
      <c r="D35" s="214"/>
      <c r="E35" s="215"/>
      <c r="G35" s="216"/>
      <c r="H35" s="214"/>
      <c r="I35" s="215"/>
      <c r="J35" s="158"/>
    </row>
    <row r="36" spans="2:22">
      <c r="B36" s="217"/>
      <c r="C36" s="218" t="s">
        <v>26</v>
      </c>
      <c r="D36" s="219" t="str">
        <f>IF($E$22=0,"",IF($G$28="invullen!","",IF($E$22&lt;0,"Geen besparing!",'TVT-berekening'!L9)))</f>
        <v>meer dan 3 jaar</v>
      </c>
      <c r="E36" s="220"/>
      <c r="G36" s="221"/>
      <c r="H36" s="218" t="s">
        <v>27</v>
      </c>
      <c r="I36" s="222">
        <f>IF($E$22=0,"",IF($G$28="invullen!","",IF($E$22&lt;0,"Geen besparing!",'IRR-berekening'!M9)))</f>
        <v>0.1272525066888337</v>
      </c>
      <c r="J36" s="158"/>
    </row>
    <row r="37" spans="2:22">
      <c r="B37" s="223"/>
      <c r="C37" s="224"/>
      <c r="D37" s="224"/>
      <c r="E37" s="225"/>
      <c r="G37" s="226"/>
      <c r="H37" s="224"/>
      <c r="I37" s="225"/>
      <c r="J37" s="158"/>
    </row>
    <row r="40" spans="2:22" ht="20.100000000000001" customHeight="1">
      <c r="B40" s="227" t="s">
        <v>28</v>
      </c>
      <c r="C40" s="238" t="str">
        <f>IF(E15="","Vul de gegevens in voor de berekening van thematische aftrek!",IF(OR(E16=0,E18=0,E20=0),"Vul alle nodige investeringsgegevens in!",IF($E$22&lt;=0,"Vul de besparingen correct in ! Besparingen moeten groter zijn dan 0 !",IF($I$36="","",IF(TVT="minder dan 3 jaar","Geen verhoogde thematische aftrek van toepassing",IF(IRR&gt;0.13,"Verhoogde thematische aftrek enkel van toepassing voor kleine ondernemingen","Verhoogde thematische aftrek van toepassing voor alle ondernemingen"))))))</f>
        <v>Vul de gegevens in voor de berekening van thematische aftrek!</v>
      </c>
      <c r="D40" s="239"/>
      <c r="E40" s="239"/>
      <c r="F40" s="239"/>
      <c r="G40" s="239"/>
      <c r="H40" s="239"/>
      <c r="I40" s="239"/>
      <c r="J40" s="239"/>
      <c r="K40" s="239"/>
      <c r="L40" s="240"/>
      <c r="V40" s="168"/>
    </row>
    <row r="41" spans="2:22" ht="20.100000000000001" customHeight="1">
      <c r="B41" s="228" t="str">
        <f>IF(C40="Vul alle nodige gegevens in!","",IF(IRR="","","Reden:"))</f>
        <v>Reden:</v>
      </c>
      <c r="C41" s="238" t="str">
        <f>IF(C40="Vul alle nodige gegevens in!","",IF(IRR="","",IF($I$36="","",IF(TVT="minder dan 3 jaar","De TVT moet minstens 3 jaar zijn",IF(IRR&gt;0.13,"De IRR mag maximaal 13% zijn voor ondernemingen die niet klein zijn","")))))</f>
        <v/>
      </c>
      <c r="D41" s="239"/>
      <c r="E41" s="239"/>
      <c r="F41" s="239"/>
      <c r="G41" s="239"/>
      <c r="H41" s="239"/>
      <c r="I41" s="239"/>
      <c r="J41" s="239"/>
      <c r="K41" s="239"/>
      <c r="L41" s="240"/>
      <c r="V41" s="168"/>
    </row>
  </sheetData>
  <sheetProtection algorithmName="SHA-512" hashValue="anbL/E5LmKL2ELh2gA5V4hXlZbFxPu8zDu/37pJ5/QSvU0ujGh2IEnGkvcS38DhlfHNn8C70ZYHszPV4PkecNg==" saltValue="FdaRPHKl3uAiwkzNw+xdLQ==" spinCount="100000" sheet="1" objects="1" scenarios="1"/>
  <mergeCells count="10">
    <mergeCell ref="C41:L41"/>
    <mergeCell ref="B33:E33"/>
    <mergeCell ref="G33:I33"/>
    <mergeCell ref="F26:AD26"/>
    <mergeCell ref="B2:U2"/>
    <mergeCell ref="B12:F12"/>
    <mergeCell ref="C28:E28"/>
    <mergeCell ref="C40:L40"/>
    <mergeCell ref="B8:U8"/>
    <mergeCell ref="B9:U9"/>
  </mergeCells>
  <conditionalFormatting sqref="C40:C41">
    <cfRule type="cellIs" dxfId="32" priority="2" operator="equal">
      <formula>"Vul de besparingen correct in ! Besparingen zijn negatief !"</formula>
    </cfRule>
    <cfRule type="cellIs" dxfId="31" priority="3" operator="equal">
      <formula>"Enkel thematische investeringsaftrek voor kleine ondernemingen"</formula>
    </cfRule>
    <cfRule type="cellIs" dxfId="30" priority="4" operator="equal">
      <formula>"Geen thematische investeringsaftrek"</formula>
    </cfRule>
  </conditionalFormatting>
  <conditionalFormatting sqref="D36">
    <cfRule type="cellIs" dxfId="29" priority="20" stopIfTrue="1" operator="equal">
      <formula>"exact 3 jaar"</formula>
    </cfRule>
    <cfRule type="cellIs" dxfId="28" priority="21" stopIfTrue="1" operator="equal">
      <formula>"minder dan 3 jaar"</formula>
    </cfRule>
    <cfRule type="cellIs" dxfId="27" priority="22" operator="equal">
      <formula>"meer dan 3 jaar"</formula>
    </cfRule>
  </conditionalFormatting>
  <conditionalFormatting sqref="E21">
    <cfRule type="cellIs" dxfId="26" priority="19" operator="notEqual">
      <formula>0.25</formula>
    </cfRule>
  </conditionalFormatting>
  <conditionalFormatting sqref="E23">
    <cfRule type="cellIs" dxfId="25" priority="16" operator="equal">
      <formula>"nee"</formula>
    </cfRule>
  </conditionalFormatting>
  <conditionalFormatting sqref="G28:AD28">
    <cfRule type="cellIs" dxfId="24" priority="1" operator="equal">
      <formula>0</formula>
    </cfRule>
    <cfRule type="cellIs" dxfId="23" priority="28" operator="equal">
      <formula>"invullen!"</formula>
    </cfRule>
    <cfRule type="expression" dxfId="22" priority="29">
      <formula>AND((#REF!-G$28)&lt;&gt;0,G$28&lt;&gt;0)</formula>
    </cfRule>
  </conditionalFormatting>
  <conditionalFormatting sqref="I36">
    <cfRule type="cellIs" dxfId="21" priority="26" stopIfTrue="1" operator="greaterThan">
      <formula>0.13</formula>
    </cfRule>
    <cfRule type="cellIs" dxfId="20" priority="27" operator="lessThan">
      <formula>0.13</formula>
    </cfRule>
  </conditionalFormatting>
  <dataValidations count="3">
    <dataValidation type="list" allowBlank="1" showInputMessage="1" showErrorMessage="1" sqref="E23" xr:uid="{99711712-844D-4AA5-B89A-ED968658F7A8}">
      <formula1>"ja,nee"</formula1>
    </dataValidation>
    <dataValidation type="list" allowBlank="1" showInputMessage="1" showErrorMessage="1" sqref="E13" xr:uid="{545ECAD9-4C30-43C3-A8D9-D6D697AD530E}">
      <formula1>"2025,2026 of later"</formula1>
    </dataValidation>
    <dataValidation type="list" allowBlank="1" showInputMessage="1" showErrorMessage="1" sqref="E14" xr:uid="{9CE6430E-977E-4A46-BE36-7744B4C1D978}">
      <formula1>"KO, geen KO"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EC293-759E-47B0-BD45-10322EB93E97}">
  <dimension ref="A1:AE55"/>
  <sheetViews>
    <sheetView topLeftCell="A37" workbookViewId="0">
      <selection sqref="A1:T1"/>
    </sheetView>
  </sheetViews>
  <sheetFormatPr defaultColWidth="9.140625" defaultRowHeight="13.15"/>
  <cols>
    <col min="1" max="1" width="17.42578125" customWidth="1"/>
    <col min="2" max="2" width="6.5703125" customWidth="1"/>
    <col min="3" max="3" width="14.28515625" customWidth="1"/>
    <col min="4" max="4" width="18" style="21" customWidth="1"/>
    <col min="5" max="5" width="10.140625" customWidth="1"/>
    <col min="6" max="6" width="10.28515625" bestFit="1" customWidth="1"/>
    <col min="7" max="9" width="10.5703125" customWidth="1"/>
    <col min="10" max="10" width="5.7109375" customWidth="1"/>
    <col min="11" max="11" width="6.140625" customWidth="1"/>
    <col min="12" max="12" width="5.7109375" customWidth="1"/>
    <col min="13" max="13" width="7.5703125" customWidth="1"/>
    <col min="14" max="18" width="5.7109375" customWidth="1"/>
    <col min="19" max="19" width="6.85546875" customWidth="1"/>
    <col min="20" max="29" width="5.7109375" customWidth="1"/>
  </cols>
  <sheetData>
    <row r="1" spans="1:21" s="1" customFormat="1" ht="25.5" customHeight="1" thickBot="1">
      <c r="A1" s="259" t="s">
        <v>29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1"/>
    </row>
    <row r="2" spans="1:21" s="1" customFormat="1">
      <c r="D2" s="2"/>
    </row>
    <row r="3" spans="1:21" s="1" customFormat="1" ht="20.100000000000001" customHeight="1">
      <c r="A3" s="262" t="s">
        <v>30</v>
      </c>
      <c r="B3" s="263"/>
      <c r="C3" s="263"/>
      <c r="D3" s="263"/>
      <c r="E3" s="264"/>
      <c r="H3" s="265" t="s">
        <v>24</v>
      </c>
      <c r="I3" s="266"/>
      <c r="J3" s="266"/>
      <c r="K3" s="266"/>
      <c r="L3" s="266"/>
      <c r="M3" s="266"/>
      <c r="N3" s="267"/>
      <c r="P3" s="127"/>
      <c r="Q3" s="127"/>
      <c r="R3" s="127"/>
      <c r="S3" s="127"/>
      <c r="T3" s="127"/>
    </row>
    <row r="4" spans="1:21" s="1" customFormat="1">
      <c r="A4" s="268"/>
      <c r="B4" s="268"/>
      <c r="C4" s="268"/>
      <c r="D4" s="268"/>
      <c r="E4" s="268"/>
      <c r="P4" s="127"/>
      <c r="Q4" s="127"/>
      <c r="R4" s="127"/>
      <c r="S4" s="127"/>
      <c r="T4" s="127"/>
    </row>
    <row r="5" spans="1:21" s="1" customFormat="1">
      <c r="A5" s="31"/>
      <c r="B5" s="32"/>
      <c r="C5" s="33" t="str">
        <f>Gegevens!D16</f>
        <v>Investering</v>
      </c>
      <c r="D5" s="4">
        <f>Gegevens!E16</f>
        <v>100</v>
      </c>
      <c r="E5" s="34" t="str">
        <f>Gegevens!F16</f>
        <v>k€</v>
      </c>
      <c r="H5" s="35"/>
      <c r="I5" s="36"/>
      <c r="J5" s="36"/>
      <c r="K5" s="36"/>
      <c r="L5" s="36"/>
      <c r="M5" s="37"/>
      <c r="N5" s="38"/>
      <c r="P5" s="127"/>
      <c r="Q5" s="127"/>
      <c r="R5" s="127"/>
      <c r="S5" s="127"/>
      <c r="T5" s="127"/>
    </row>
    <row r="6" spans="1:21" s="1" customFormat="1">
      <c r="A6" s="39"/>
      <c r="B6" s="40"/>
      <c r="C6" s="41" t="str">
        <f>Gegevens!D17</f>
        <v>Installatiekosten</v>
      </c>
      <c r="D6" s="5">
        <f>Gegevens!E17</f>
        <v>0</v>
      </c>
      <c r="E6" s="42" t="str">
        <f>Gegevens!F17</f>
        <v>k€</v>
      </c>
      <c r="H6" s="43"/>
      <c r="I6" s="44" t="s">
        <v>31</v>
      </c>
      <c r="J6" s="45"/>
      <c r="K6" s="45"/>
      <c r="L6" s="290" t="str">
        <f>E28</f>
        <v>meer dan 3 jaar</v>
      </c>
      <c r="M6" s="290"/>
      <c r="N6" s="291"/>
      <c r="P6" s="127"/>
      <c r="Q6" s="127"/>
      <c r="R6" s="127"/>
      <c r="S6" s="127"/>
      <c r="T6" s="127"/>
    </row>
    <row r="7" spans="1:21" s="1" customFormat="1">
      <c r="A7" s="39"/>
      <c r="B7" s="40"/>
      <c r="C7" s="47" t="str">
        <f>Gegevens!D18</f>
        <v xml:space="preserve">Levensduur </v>
      </c>
      <c r="D7" s="8">
        <f>Gegevens!E18</f>
        <v>10</v>
      </c>
      <c r="E7" s="42" t="str">
        <f>Gegevens!F18</f>
        <v>jaar</v>
      </c>
      <c r="H7" s="43"/>
      <c r="I7" s="128"/>
      <c r="J7" s="128"/>
      <c r="K7" s="128"/>
      <c r="L7" s="128"/>
      <c r="M7" s="129"/>
      <c r="N7" s="130"/>
      <c r="P7" s="127"/>
      <c r="Q7" s="127"/>
      <c r="R7" s="127"/>
      <c r="S7" s="127"/>
      <c r="T7" s="127"/>
    </row>
    <row r="8" spans="1:21" s="1" customFormat="1">
      <c r="A8" s="39"/>
      <c r="B8" s="40"/>
      <c r="C8" s="47" t="str">
        <f>Gegevens!D22</f>
        <v>Netto besparing jaar 1</v>
      </c>
      <c r="D8" s="5">
        <f>Gegevens!E22</f>
        <v>20</v>
      </c>
      <c r="E8" s="42" t="str">
        <f>Gegevens!F22</f>
        <v>k€</v>
      </c>
      <c r="H8" s="9"/>
      <c r="I8" s="10"/>
      <c r="J8" s="10"/>
      <c r="K8" s="10"/>
      <c r="L8" s="10"/>
      <c r="M8" s="52"/>
      <c r="N8" s="11"/>
      <c r="P8" s="127"/>
      <c r="Q8" s="127"/>
      <c r="R8" s="127"/>
      <c r="S8" s="127"/>
      <c r="T8" s="127"/>
    </row>
    <row r="9" spans="1:21" s="1" customFormat="1">
      <c r="A9" s="39"/>
      <c r="B9" s="40"/>
      <c r="C9" s="41" t="str">
        <f>Gegevens!D19</f>
        <v>Restwaarde bij einde levensduur</v>
      </c>
      <c r="D9" s="5">
        <f>Gegevens!E19</f>
        <v>0</v>
      </c>
      <c r="E9" s="42" t="str">
        <f>Gegevens!F19</f>
        <v>k€</v>
      </c>
      <c r="H9" s="12"/>
      <c r="I9" s="53" t="s">
        <v>26</v>
      </c>
      <c r="J9" s="53"/>
      <c r="K9" s="53"/>
      <c r="L9" s="300" t="str">
        <f>E46</f>
        <v>meer dan 3 jaar</v>
      </c>
      <c r="M9" s="300"/>
      <c r="N9" s="301"/>
      <c r="P9" s="127"/>
      <c r="Q9" s="127"/>
      <c r="R9" s="127"/>
      <c r="S9" s="127"/>
      <c r="T9" s="127"/>
    </row>
    <row r="10" spans="1:21" s="1" customFormat="1">
      <c r="A10" s="39"/>
      <c r="B10" s="40"/>
      <c r="C10" s="41" t="str">
        <f>Gegevens!D20</f>
        <v>Afschrijvingstermijn</v>
      </c>
      <c r="D10" s="8">
        <f>Gegevens!E20</f>
        <v>5</v>
      </c>
      <c r="E10" s="42" t="str">
        <f>Gegevens!F20</f>
        <v>jaar</v>
      </c>
      <c r="H10" s="14"/>
      <c r="I10" s="15"/>
      <c r="J10" s="15"/>
      <c r="K10" s="15"/>
      <c r="L10" s="15"/>
      <c r="M10" s="55"/>
      <c r="N10" s="16"/>
      <c r="P10" s="127"/>
      <c r="Q10" s="127"/>
      <c r="R10" s="127"/>
      <c r="S10" s="127"/>
      <c r="T10" s="127"/>
    </row>
    <row r="11" spans="1:21" s="1" customFormat="1">
      <c r="A11" s="39"/>
      <c r="B11" s="40"/>
      <c r="C11" s="41" t="s">
        <v>32</v>
      </c>
      <c r="D11" s="156" t="str">
        <f>Gegevens!E15</f>
        <v/>
      </c>
      <c r="E11" s="42"/>
      <c r="H11" s="154"/>
      <c r="I11" s="154"/>
      <c r="J11" s="154"/>
      <c r="K11" s="154"/>
      <c r="L11" s="154"/>
      <c r="M11" s="155"/>
      <c r="N11" s="154"/>
      <c r="P11" s="127"/>
      <c r="Q11" s="127"/>
      <c r="R11" s="127"/>
      <c r="S11" s="127"/>
      <c r="T11" s="127"/>
    </row>
    <row r="12" spans="1:21" s="1" customFormat="1">
      <c r="A12" s="56"/>
      <c r="B12" s="57"/>
      <c r="C12" s="58" t="str">
        <f>Gegevens!D21</f>
        <v>Vennootschapsbelasting</v>
      </c>
      <c r="D12" s="30">
        <f>Gegevens!E21</f>
        <v>0.25</v>
      </c>
      <c r="E12" s="59"/>
      <c r="Q12" s="3"/>
      <c r="R12" s="3"/>
      <c r="U12" s="3"/>
    </row>
    <row r="13" spans="1:21" s="1" customFormat="1">
      <c r="A13" s="3"/>
      <c r="D13" s="17"/>
      <c r="Q13" s="3"/>
      <c r="R13" s="3"/>
      <c r="U13" s="3"/>
    </row>
    <row r="14" spans="1:21" s="1" customFormat="1">
      <c r="D14" s="18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1" s="1" customFormat="1">
      <c r="A15" s="3" t="s">
        <v>33</v>
      </c>
      <c r="D15" s="18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1" s="1" customFormat="1">
      <c r="D16" s="2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31" s="1" customFormat="1" ht="20.100000000000001" customHeight="1">
      <c r="A17" s="269" t="s">
        <v>34</v>
      </c>
      <c r="B17" s="270"/>
      <c r="C17" s="270"/>
      <c r="D17" s="270"/>
      <c r="E17" s="270"/>
      <c r="F17" s="270"/>
      <c r="G17" s="270"/>
      <c r="H17" s="270"/>
      <c r="I17" s="270"/>
      <c r="J17" s="270"/>
      <c r="K17" s="270"/>
      <c r="L17" s="270"/>
      <c r="M17" s="270"/>
      <c r="N17" s="270"/>
      <c r="O17" s="270"/>
      <c r="P17" s="270"/>
      <c r="Q17" s="270"/>
      <c r="R17" s="270"/>
      <c r="S17" s="270"/>
      <c r="T17" s="271"/>
    </row>
    <row r="18" spans="1:31" s="1" customFormat="1">
      <c r="D18" s="2"/>
      <c r="F18" s="60"/>
      <c r="G18" s="60"/>
      <c r="H18" s="60"/>
    </row>
    <row r="19" spans="1:31" s="1" customFormat="1">
      <c r="D19" s="2"/>
      <c r="E19" s="282" t="s">
        <v>22</v>
      </c>
      <c r="F19" s="283"/>
      <c r="G19" s="283"/>
      <c r="H19" s="283"/>
      <c r="I19" s="284"/>
    </row>
    <row r="20" spans="1:31" s="1" customFormat="1">
      <c r="D20" s="2"/>
      <c r="E20" s="26">
        <v>0</v>
      </c>
      <c r="F20" s="27">
        <v>1</v>
      </c>
      <c r="G20" s="27">
        <v>2</v>
      </c>
      <c r="H20" s="27">
        <v>3</v>
      </c>
      <c r="I20" s="25">
        <v>4</v>
      </c>
    </row>
    <row r="21" spans="1:31" s="1" customFormat="1">
      <c r="B21" s="276" t="s">
        <v>11</v>
      </c>
      <c r="C21" s="277"/>
      <c r="D21" s="278"/>
      <c r="E21" s="61">
        <f>-(D5)</f>
        <v>-100</v>
      </c>
      <c r="F21" s="62"/>
      <c r="G21" s="62"/>
      <c r="H21" s="62"/>
      <c r="I21" s="63"/>
    </row>
    <row r="22" spans="1:31" s="1" customFormat="1">
      <c r="B22" s="279" t="s">
        <v>16</v>
      </c>
      <c r="C22" s="280"/>
      <c r="D22" s="281"/>
      <c r="E22" s="66"/>
      <c r="F22" s="67">
        <f>IF($D$7=F20,$D$9,0)</f>
        <v>0</v>
      </c>
      <c r="G22" s="67">
        <f t="shared" ref="G22:I22" si="0">IF($D$7=G20,$D$9,0)</f>
        <v>0</v>
      </c>
      <c r="H22" s="67">
        <f t="shared" si="0"/>
        <v>0</v>
      </c>
      <c r="I22" s="68">
        <f t="shared" si="0"/>
        <v>0</v>
      </c>
    </row>
    <row r="23" spans="1:31" s="1" customFormat="1">
      <c r="B23" s="279" t="s">
        <v>13</v>
      </c>
      <c r="C23" s="280"/>
      <c r="D23" s="281"/>
      <c r="E23" s="69">
        <f>-D6</f>
        <v>0</v>
      </c>
      <c r="F23" s="67"/>
      <c r="G23" s="67"/>
      <c r="H23" s="67"/>
      <c r="I23" s="68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</row>
    <row r="24" spans="1:31" s="1" customFormat="1">
      <c r="B24" s="302" t="s">
        <v>35</v>
      </c>
      <c r="C24" s="303"/>
      <c r="D24" s="304"/>
      <c r="E24" s="28"/>
      <c r="F24" s="70">
        <f>'IRR-berekening'!F24</f>
        <v>20</v>
      </c>
      <c r="G24" s="70">
        <f>'IRR-berekening'!G24</f>
        <v>20</v>
      </c>
      <c r="H24" s="70">
        <f>'IRR-berekening'!H24</f>
        <v>20</v>
      </c>
      <c r="I24" s="71">
        <f>'IRR-berekening'!I24</f>
        <v>20</v>
      </c>
      <c r="J24" s="1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</row>
    <row r="25" spans="1:31" s="1" customFormat="1">
      <c r="B25" s="292" t="s">
        <v>36</v>
      </c>
      <c r="C25" s="293"/>
      <c r="D25" s="294"/>
      <c r="E25" s="72">
        <f>SUM(E21:E24)</f>
        <v>-100</v>
      </c>
      <c r="F25" s="73">
        <f t="shared" ref="F25:I25" si="1">SUM(F21:F24)</f>
        <v>20</v>
      </c>
      <c r="G25" s="73">
        <f t="shared" si="1"/>
        <v>20</v>
      </c>
      <c r="H25" s="73">
        <f t="shared" si="1"/>
        <v>20</v>
      </c>
      <c r="I25" s="74">
        <f t="shared" si="1"/>
        <v>20</v>
      </c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31" s="1" customFormat="1">
      <c r="B26" s="285" t="s">
        <v>37</v>
      </c>
      <c r="C26" s="286"/>
      <c r="D26" s="287"/>
      <c r="E26" s="131">
        <f>E25</f>
        <v>-100</v>
      </c>
      <c r="F26" s="132">
        <f>SUM($E25:F25)</f>
        <v>-80</v>
      </c>
      <c r="G26" s="132">
        <f>SUM($E25:G25)</f>
        <v>-60</v>
      </c>
      <c r="H26" s="132">
        <f>SUM($E25:H25)</f>
        <v>-40</v>
      </c>
      <c r="I26" s="133">
        <f>SUM($E25:I25)</f>
        <v>-20</v>
      </c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31" s="1" customFormat="1">
      <c r="C27" s="65"/>
      <c r="D27" s="65"/>
      <c r="E27" s="65"/>
      <c r="F27" s="134"/>
      <c r="G27" s="134"/>
      <c r="H27" s="134"/>
      <c r="I27" s="134"/>
      <c r="J27" s="134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</row>
    <row r="28" spans="1:31" s="60" customFormat="1">
      <c r="B28" s="288" t="s">
        <v>38</v>
      </c>
      <c r="C28" s="289"/>
      <c r="D28" s="289"/>
      <c r="E28" s="298" t="str">
        <f>IF(D7=0,"",IF(H26&lt;0,"meer dan 3 jaar",IF(H26&gt;0,"minder dan 3 jaar","exact 3 jaar")))</f>
        <v>meer dan 3 jaar</v>
      </c>
      <c r="F28" s="299"/>
    </row>
    <row r="29" spans="1:31" s="1" customFormat="1">
      <c r="E29" s="2"/>
      <c r="F29" s="75"/>
      <c r="G29" s="75"/>
      <c r="H29" s="75"/>
      <c r="I29" s="75"/>
      <c r="J29" s="75"/>
    </row>
    <row r="30" spans="1:31" s="1" customFormat="1">
      <c r="D30" s="99"/>
    </row>
    <row r="31" spans="1:31" s="100" customFormat="1" ht="20.100000000000001" customHeight="1">
      <c r="A31" s="265" t="s">
        <v>39</v>
      </c>
      <c r="B31" s="266"/>
      <c r="C31" s="266"/>
      <c r="D31" s="266"/>
      <c r="E31" s="266"/>
      <c r="F31" s="266"/>
      <c r="G31" s="266"/>
      <c r="H31" s="266"/>
      <c r="I31" s="266"/>
      <c r="J31" s="266"/>
      <c r="K31" s="266"/>
      <c r="L31" s="266"/>
      <c r="M31" s="266"/>
      <c r="N31" s="266"/>
      <c r="O31" s="266"/>
      <c r="P31" s="266"/>
      <c r="Q31" s="266"/>
      <c r="R31" s="266"/>
      <c r="S31" s="266"/>
      <c r="T31" s="267"/>
    </row>
    <row r="32" spans="1:31" s="1" customFormat="1">
      <c r="A32" s="60"/>
      <c r="B32" s="60"/>
      <c r="D32" s="99"/>
      <c r="G32" s="60"/>
    </row>
    <row r="33" spans="1:30" s="1" customFormat="1">
      <c r="D33" s="101"/>
      <c r="E33" s="295" t="s">
        <v>22</v>
      </c>
      <c r="F33" s="296"/>
      <c r="G33" s="296"/>
      <c r="H33" s="296"/>
      <c r="I33" s="297"/>
    </row>
    <row r="34" spans="1:30" s="1" customFormat="1">
      <c r="D34" s="99"/>
      <c r="E34" s="95">
        <v>0</v>
      </c>
      <c r="F34" s="96">
        <v>1</v>
      </c>
      <c r="G34" s="96">
        <v>2</v>
      </c>
      <c r="H34" s="96">
        <v>3</v>
      </c>
      <c r="I34" s="97">
        <v>4</v>
      </c>
    </row>
    <row r="35" spans="1:30" s="1" customFormat="1">
      <c r="B35" s="276" t="s">
        <v>11</v>
      </c>
      <c r="C35" s="277"/>
      <c r="D35" s="278"/>
      <c r="E35" s="86">
        <f>-(D5)</f>
        <v>-100</v>
      </c>
      <c r="F35" s="62"/>
      <c r="G35" s="62"/>
      <c r="H35" s="62"/>
      <c r="I35" s="63"/>
    </row>
    <row r="36" spans="1:30" s="1" customFormat="1">
      <c r="B36" s="279" t="s">
        <v>16</v>
      </c>
      <c r="C36" s="280"/>
      <c r="D36" s="281"/>
      <c r="E36" s="66"/>
      <c r="F36" s="67">
        <f>IF($D$7=F34,$D$9,0)</f>
        <v>0</v>
      </c>
      <c r="G36" s="67">
        <f t="shared" ref="G36:I36" si="2">IF($D$7=G34,$D$9,0)</f>
        <v>0</v>
      </c>
      <c r="H36" s="67">
        <f t="shared" si="2"/>
        <v>0</v>
      </c>
      <c r="I36" s="68">
        <f t="shared" si="2"/>
        <v>0</v>
      </c>
    </row>
    <row r="37" spans="1:30" s="1" customFormat="1">
      <c r="B37" s="279" t="s">
        <v>13</v>
      </c>
      <c r="C37" s="280"/>
      <c r="D37" s="281"/>
      <c r="E37" s="69">
        <f>-D6</f>
        <v>0</v>
      </c>
      <c r="F37" s="102"/>
      <c r="G37" s="102"/>
      <c r="H37" s="102"/>
      <c r="I37" s="135"/>
    </row>
    <row r="38" spans="1:30" s="1" customFormat="1">
      <c r="B38" s="279" t="s">
        <v>35</v>
      </c>
      <c r="C38" s="280"/>
      <c r="D38" s="281"/>
      <c r="E38" s="69"/>
      <c r="F38" s="67">
        <f>F24</f>
        <v>20</v>
      </c>
      <c r="G38" s="67">
        <f t="shared" ref="G38:I38" si="3">G24</f>
        <v>20</v>
      </c>
      <c r="H38" s="67">
        <f t="shared" si="3"/>
        <v>20</v>
      </c>
      <c r="I38" s="68">
        <f t="shared" si="3"/>
        <v>20</v>
      </c>
    </row>
    <row r="39" spans="1:30" s="1" customFormat="1">
      <c r="B39" s="279" t="s">
        <v>40</v>
      </c>
      <c r="C39" s="280"/>
      <c r="D39" s="281"/>
      <c r="E39" s="69">
        <f>-E37*$D$12</f>
        <v>0</v>
      </c>
      <c r="F39" s="67">
        <f>-F38*$D$12</f>
        <v>-5</v>
      </c>
      <c r="G39" s="67">
        <f>-G38*$D$12</f>
        <v>-5</v>
      </c>
      <c r="H39" s="67">
        <f>-H38*$D$12</f>
        <v>-5</v>
      </c>
      <c r="I39" s="68">
        <f>-I38*$D$12</f>
        <v>-5</v>
      </c>
    </row>
    <row r="40" spans="1:30" s="1" customFormat="1">
      <c r="B40" s="64"/>
      <c r="C40" s="65"/>
      <c r="D40" s="24" t="s">
        <v>32</v>
      </c>
      <c r="E40" s="69">
        <f>IF($D$11="",0,$D$11*$D$5*$D$12)</f>
        <v>0</v>
      </c>
      <c r="F40" s="67"/>
      <c r="G40" s="67"/>
      <c r="H40" s="67"/>
      <c r="I40" s="68"/>
    </row>
    <row r="41" spans="1:30" s="1" customFormat="1">
      <c r="B41" s="279" t="s">
        <v>41</v>
      </c>
      <c r="C41" s="280"/>
      <c r="D41" s="281"/>
      <c r="E41" s="103"/>
      <c r="F41" s="104">
        <f>IF($D$10+1-F$34&gt;0,($D$5/$D$10),0)</f>
        <v>20</v>
      </c>
      <c r="G41" s="104">
        <f>IF($D$10+1-G$34&gt;0,($D$5/$D$10),0)</f>
        <v>20</v>
      </c>
      <c r="H41" s="104">
        <f>IF($D$10+1-H$34&gt;0,($D$5/$D$10),0)</f>
        <v>20</v>
      </c>
      <c r="I41" s="105">
        <f>IF($D$10+1-I$34&gt;0,($D$5/$D$10),0)</f>
        <v>20</v>
      </c>
    </row>
    <row r="42" spans="1:30" s="1" customFormat="1">
      <c r="B42" s="302" t="s">
        <v>42</v>
      </c>
      <c r="C42" s="303"/>
      <c r="D42" s="304"/>
      <c r="E42" s="28"/>
      <c r="F42" s="70">
        <f>IF(F$41&gt;0,F41*$D$12,0)</f>
        <v>5</v>
      </c>
      <c r="G42" s="70">
        <f>IF(G$41&gt;0,G41*$D$12,0)</f>
        <v>5</v>
      </c>
      <c r="H42" s="70">
        <f>IF(H$41&gt;0,H41*$D$12,0)</f>
        <v>5</v>
      </c>
      <c r="I42" s="71">
        <f>IF(I$41&gt;0,I41*$D$12,0)</f>
        <v>5</v>
      </c>
    </row>
    <row r="43" spans="1:30" s="1" customFormat="1">
      <c r="B43" s="292" t="s">
        <v>36</v>
      </c>
      <c r="C43" s="293"/>
      <c r="D43" s="294"/>
      <c r="E43" s="72">
        <f>SUM(E35:E42)</f>
        <v>-100</v>
      </c>
      <c r="F43" s="73">
        <f>SUM(F35:F42)-F41</f>
        <v>20</v>
      </c>
      <c r="G43" s="73">
        <f t="shared" ref="G43:I43" si="4">SUM(G35:G42)-G41</f>
        <v>20</v>
      </c>
      <c r="H43" s="73">
        <f t="shared" si="4"/>
        <v>20</v>
      </c>
      <c r="I43" s="74">
        <f t="shared" si="4"/>
        <v>20</v>
      </c>
    </row>
    <row r="44" spans="1:30" s="1" customFormat="1">
      <c r="B44" s="292" t="s">
        <v>37</v>
      </c>
      <c r="C44" s="293"/>
      <c r="D44" s="294"/>
      <c r="E44" s="72">
        <f>E43</f>
        <v>-100</v>
      </c>
      <c r="F44" s="73">
        <f>SUM($E43:F43)</f>
        <v>-80</v>
      </c>
      <c r="G44" s="73">
        <f>SUM($E43:G43)</f>
        <v>-60</v>
      </c>
      <c r="H44" s="73">
        <f>SUM($E43:H43)</f>
        <v>-40</v>
      </c>
      <c r="I44" s="74">
        <f>SUM($E43:I43)</f>
        <v>-20</v>
      </c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</row>
    <row r="45" spans="1:30" s="1" customFormat="1">
      <c r="A45" s="60"/>
      <c r="B45" s="60"/>
      <c r="C45" s="60"/>
      <c r="D45" s="99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</row>
    <row r="46" spans="1:30" s="60" customFormat="1">
      <c r="B46" s="272" t="s">
        <v>43</v>
      </c>
      <c r="C46" s="273"/>
      <c r="D46" s="273"/>
      <c r="E46" s="274" t="str">
        <f>IF(D7=0,"",IF(H44&lt;0,"meer dan 3 jaar",IF(H44&gt;0,"minder dan 3 jaar","exact 3 jaar")))</f>
        <v>meer dan 3 jaar</v>
      </c>
      <c r="F46" s="275"/>
    </row>
    <row r="47" spans="1:30" s="1" customFormat="1">
      <c r="C47" s="80">
        <v>0</v>
      </c>
      <c r="D47" s="2"/>
    </row>
    <row r="48" spans="1:30">
      <c r="D48" s="20"/>
      <c r="E48" s="126"/>
    </row>
    <row r="49" spans="5:5">
      <c r="E49" s="126"/>
    </row>
    <row r="50" spans="5:5">
      <c r="E50" s="126"/>
    </row>
    <row r="51" spans="5:5">
      <c r="E51" s="126"/>
    </row>
    <row r="52" spans="5:5">
      <c r="E52" s="126"/>
    </row>
    <row r="53" spans="5:5">
      <c r="E53" s="126"/>
    </row>
    <row r="54" spans="5:5">
      <c r="E54" s="126"/>
    </row>
    <row r="55" spans="5:5">
      <c r="E55" s="126"/>
    </row>
  </sheetData>
  <sheetProtection algorithmName="SHA-512" hashValue="V1+bYpBRvkltPzAZFTje6hD4B9Q0VtAcEG5QnOyfP7VQGY7L2F+mgl7Ehv7zjv4v6Sb91lw/u7mA4Ry966rPZA==" saltValue="Je352Wfn1Dd33Eg3bA6yrQ==" spinCount="100000" sheet="1" objects="1" scenarios="1"/>
  <mergeCells count="29">
    <mergeCell ref="E19:I19"/>
    <mergeCell ref="B26:D26"/>
    <mergeCell ref="B28:D28"/>
    <mergeCell ref="L6:N6"/>
    <mergeCell ref="B44:D44"/>
    <mergeCell ref="E33:I33"/>
    <mergeCell ref="E28:F28"/>
    <mergeCell ref="L9:N9"/>
    <mergeCell ref="B42:D42"/>
    <mergeCell ref="B43:D43"/>
    <mergeCell ref="A31:T31"/>
    <mergeCell ref="B21:D21"/>
    <mergeCell ref="B22:D22"/>
    <mergeCell ref="B23:D23"/>
    <mergeCell ref="B24:D24"/>
    <mergeCell ref="B25:D25"/>
    <mergeCell ref="B46:D46"/>
    <mergeCell ref="E46:F46"/>
    <mergeCell ref="B35:D35"/>
    <mergeCell ref="B36:D36"/>
    <mergeCell ref="B37:D37"/>
    <mergeCell ref="B38:D38"/>
    <mergeCell ref="B39:D39"/>
    <mergeCell ref="B41:D41"/>
    <mergeCell ref="A1:T1"/>
    <mergeCell ref="A3:E3"/>
    <mergeCell ref="H3:N3"/>
    <mergeCell ref="A4:E4"/>
    <mergeCell ref="A17:T17"/>
  </mergeCells>
  <conditionalFormatting sqref="D12">
    <cfRule type="cellIs" dxfId="19" priority="1" operator="notEqual">
      <formula>0.25</formula>
    </cfRule>
  </conditionalFormatting>
  <conditionalFormatting sqref="E28:F28">
    <cfRule type="cellIs" dxfId="18" priority="9" stopIfTrue="1" operator="equal">
      <formula>"exact 3 jaar"</formula>
    </cfRule>
    <cfRule type="cellIs" dxfId="17" priority="10" stopIfTrue="1" operator="equal">
      <formula>"minder dan 3 jaar"</formula>
    </cfRule>
    <cfRule type="cellIs" dxfId="16" priority="11" operator="equal">
      <formula>"meer dan 3 jaar"</formula>
    </cfRule>
  </conditionalFormatting>
  <conditionalFormatting sqref="E46:F46">
    <cfRule type="cellIs" dxfId="15" priority="6" stopIfTrue="1" operator="equal">
      <formula>"exact 3 jaar"</formula>
    </cfRule>
    <cfRule type="cellIs" dxfId="14" priority="7" stopIfTrue="1" operator="equal">
      <formula>"minder dan 3 jaar"</formula>
    </cfRule>
    <cfRule type="cellIs" dxfId="13" priority="8" operator="equal">
      <formula>"meer dan 3 jaar"</formula>
    </cfRule>
  </conditionalFormatting>
  <conditionalFormatting sqref="G24:I24">
    <cfRule type="expression" dxfId="12" priority="5">
      <formula>AND($F$24-G24 &lt;&gt;0,G24&lt;&gt;0)</formula>
    </cfRule>
  </conditionalFormatting>
  <conditionalFormatting sqref="G38:I38">
    <cfRule type="expression" dxfId="11" priority="26">
      <formula>AND($F$38-G38 &lt;&gt;0,G38&lt;&gt;0)</formula>
    </cfRule>
  </conditionalFormatting>
  <conditionalFormatting sqref="L6">
    <cfRule type="cellIs" dxfId="10" priority="23" stopIfTrue="1" operator="equal">
      <formula>"exact 3 jaar"</formula>
    </cfRule>
    <cfRule type="cellIs" dxfId="9" priority="24" stopIfTrue="1" operator="equal">
      <formula>"minder dan 3 jaar"</formula>
    </cfRule>
    <cfRule type="cellIs" dxfId="8" priority="25" operator="equal">
      <formula>"meer dan 3 jaar"</formula>
    </cfRule>
  </conditionalFormatting>
  <conditionalFormatting sqref="L9">
    <cfRule type="cellIs" dxfId="7" priority="14" stopIfTrue="1" operator="equal">
      <formula>"exact 3 jaar"</formula>
    </cfRule>
    <cfRule type="cellIs" dxfId="6" priority="15" stopIfTrue="1" operator="equal">
      <formula>"minder dan 3 jaar"</formula>
    </cfRule>
    <cfRule type="cellIs" dxfId="5" priority="16" operator="equal">
      <formula>"meer dan 3 jaar"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O92"/>
  <sheetViews>
    <sheetView zoomScale="88" zoomScaleNormal="88" workbookViewId="0">
      <selection activeCell="A3" sqref="A3:E3"/>
    </sheetView>
  </sheetViews>
  <sheetFormatPr defaultColWidth="9.140625" defaultRowHeight="13.15"/>
  <cols>
    <col min="1" max="1" width="17.42578125" customWidth="1"/>
    <col min="2" max="2" width="6.5703125" customWidth="1"/>
    <col min="3" max="3" width="14.28515625" customWidth="1"/>
    <col min="4" max="4" width="18" style="21" customWidth="1"/>
    <col min="5" max="5" width="11.28515625" customWidth="1"/>
    <col min="6" max="14" width="9.7109375" customWidth="1"/>
    <col min="15" max="15" width="10.28515625" customWidth="1"/>
    <col min="16" max="30" width="8.85546875" customWidth="1"/>
  </cols>
  <sheetData>
    <row r="1" spans="1:21" s="1" customFormat="1" ht="25.5" customHeight="1" thickBot="1">
      <c r="A1" s="259" t="s">
        <v>44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1"/>
    </row>
    <row r="2" spans="1:21" s="1" customFormat="1">
      <c r="D2" s="2"/>
    </row>
    <row r="3" spans="1:21" s="1" customFormat="1" ht="20.100000000000001" customHeight="1">
      <c r="A3" s="262" t="s">
        <v>30</v>
      </c>
      <c r="B3" s="263"/>
      <c r="C3" s="263"/>
      <c r="D3" s="263"/>
      <c r="E3" s="264"/>
      <c r="H3" s="265" t="s">
        <v>25</v>
      </c>
      <c r="I3" s="266"/>
      <c r="J3" s="266"/>
      <c r="K3" s="266"/>
      <c r="L3" s="266"/>
      <c r="M3" s="266"/>
      <c r="N3" s="267"/>
    </row>
    <row r="4" spans="1:21" s="1" customFormat="1">
      <c r="A4" s="308"/>
      <c r="B4" s="308"/>
      <c r="C4" s="308"/>
      <c r="D4" s="308"/>
      <c r="E4" s="308"/>
    </row>
    <row r="5" spans="1:21" s="1" customFormat="1">
      <c r="A5" s="31"/>
      <c r="B5" s="32"/>
      <c r="C5" s="33" t="str">
        <f>Gegevens!D16</f>
        <v>Investering</v>
      </c>
      <c r="D5" s="4">
        <f>Gegevens!E16</f>
        <v>100</v>
      </c>
      <c r="E5" s="34" t="str">
        <f>Gegevens!F16</f>
        <v>k€</v>
      </c>
      <c r="H5" s="35"/>
      <c r="I5" s="36"/>
      <c r="J5" s="36"/>
      <c r="K5" s="36"/>
      <c r="L5" s="36"/>
      <c r="M5" s="37"/>
      <c r="N5" s="38"/>
    </row>
    <row r="6" spans="1:21" s="1" customFormat="1">
      <c r="A6" s="39"/>
      <c r="B6" s="40"/>
      <c r="C6" s="41" t="str">
        <f>Gegevens!D17</f>
        <v>Installatiekosten</v>
      </c>
      <c r="D6" s="5">
        <f>Gegevens!E17</f>
        <v>0</v>
      </c>
      <c r="E6" s="42" t="str">
        <f>Gegevens!F17</f>
        <v>k€</v>
      </c>
      <c r="H6" s="43"/>
      <c r="I6" s="44"/>
      <c r="J6" s="45"/>
      <c r="K6" s="45"/>
      <c r="L6" s="46" t="s">
        <v>45</v>
      </c>
      <c r="M6" s="6">
        <f>C28</f>
        <v>0.15098414477083444</v>
      </c>
      <c r="N6" s="7"/>
    </row>
    <row r="7" spans="1:21" s="1" customFormat="1">
      <c r="A7" s="39"/>
      <c r="B7" s="40"/>
      <c r="C7" s="47" t="str">
        <f>Gegevens!D18</f>
        <v xml:space="preserve">Levensduur </v>
      </c>
      <c r="D7" s="8">
        <f>Gegevens!E18</f>
        <v>10</v>
      </c>
      <c r="E7" s="42" t="str">
        <f>Gegevens!F18</f>
        <v>jaar</v>
      </c>
      <c r="H7" s="48"/>
      <c r="I7" s="49"/>
      <c r="J7" s="49"/>
      <c r="K7" s="49"/>
      <c r="L7" s="49"/>
      <c r="M7" s="50"/>
      <c r="N7" s="51"/>
    </row>
    <row r="8" spans="1:21" s="1" customFormat="1">
      <c r="A8" s="39"/>
      <c r="B8" s="40"/>
      <c r="C8" s="41" t="str">
        <f>Gegevens!D22</f>
        <v>Netto besparing jaar 1</v>
      </c>
      <c r="D8" s="5">
        <f>Gegevens!E22</f>
        <v>20</v>
      </c>
      <c r="E8" s="42" t="str">
        <f>Gegevens!F22</f>
        <v>k€</v>
      </c>
      <c r="H8" s="9"/>
      <c r="I8" s="10"/>
      <c r="J8" s="10"/>
      <c r="K8" s="10"/>
      <c r="L8" s="10"/>
      <c r="M8" s="52"/>
      <c r="N8" s="11"/>
    </row>
    <row r="9" spans="1:21" s="1" customFormat="1">
      <c r="A9" s="39"/>
      <c r="B9" s="40"/>
      <c r="C9" s="41" t="str">
        <f>Gegevens!D19</f>
        <v>Restwaarde bij einde levensduur</v>
      </c>
      <c r="D9" s="5">
        <f>Gegevens!E19</f>
        <v>0</v>
      </c>
      <c r="E9" s="42" t="str">
        <f>Gegevens!F19</f>
        <v>k€</v>
      </c>
      <c r="H9" s="12"/>
      <c r="I9" s="53"/>
      <c r="J9" s="53"/>
      <c r="K9" s="53"/>
      <c r="L9" s="22" t="s">
        <v>27</v>
      </c>
      <c r="M9" s="13">
        <f>C64</f>
        <v>0.1272525066888337</v>
      </c>
      <c r="N9" s="54"/>
    </row>
    <row r="10" spans="1:21" s="1" customFormat="1">
      <c r="A10" s="39"/>
      <c r="B10" s="40"/>
      <c r="C10" s="41" t="str">
        <f>Gegevens!D20</f>
        <v>Afschrijvingstermijn</v>
      </c>
      <c r="D10" s="8">
        <f>Gegevens!E20</f>
        <v>5</v>
      </c>
      <c r="E10" s="42" t="str">
        <f>Gegevens!F20</f>
        <v>jaar</v>
      </c>
      <c r="H10" s="14"/>
      <c r="I10" s="15"/>
      <c r="J10" s="15"/>
      <c r="K10" s="15"/>
      <c r="L10" s="15"/>
      <c r="M10" s="55"/>
      <c r="N10" s="16"/>
    </row>
    <row r="11" spans="1:21" s="1" customFormat="1">
      <c r="A11" s="39"/>
      <c r="B11" s="40"/>
      <c r="C11" s="41" t="s">
        <v>32</v>
      </c>
      <c r="D11" s="156" t="str">
        <f>Gegevens!E15</f>
        <v/>
      </c>
      <c r="E11" s="42"/>
      <c r="P11" s="127"/>
      <c r="Q11" s="127"/>
      <c r="R11" s="127"/>
      <c r="S11" s="127"/>
      <c r="T11" s="127"/>
    </row>
    <row r="12" spans="1:21" s="1" customFormat="1">
      <c r="A12" s="56"/>
      <c r="B12" s="57"/>
      <c r="C12" s="58" t="str">
        <f>Gegevens!D21</f>
        <v>Vennootschapsbelasting</v>
      </c>
      <c r="D12" s="30">
        <f>Gegevens!E21</f>
        <v>0.25</v>
      </c>
      <c r="E12" s="59"/>
      <c r="Q12" s="3"/>
      <c r="R12" s="3"/>
      <c r="U12" s="3"/>
    </row>
    <row r="13" spans="1:21" s="1" customFormat="1">
      <c r="A13" s="19"/>
      <c r="D13" s="17"/>
      <c r="Q13" s="3"/>
      <c r="R13" s="3"/>
      <c r="U13" s="3"/>
    </row>
    <row r="14" spans="1:21" s="1" customFormat="1">
      <c r="D14" s="18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1" s="1" customFormat="1">
      <c r="A15" s="3" t="s">
        <v>33</v>
      </c>
      <c r="D15" s="18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1" s="1" customFormat="1">
      <c r="D16" s="2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41" s="1" customFormat="1" ht="20.100000000000001" customHeight="1">
      <c r="A17" s="269" t="s">
        <v>46</v>
      </c>
      <c r="B17" s="270"/>
      <c r="C17" s="270"/>
      <c r="D17" s="270"/>
      <c r="E17" s="270"/>
      <c r="F17" s="270"/>
      <c r="G17" s="270"/>
      <c r="H17" s="270"/>
      <c r="I17" s="270"/>
      <c r="J17" s="270"/>
      <c r="K17" s="270"/>
      <c r="L17" s="270"/>
      <c r="M17" s="270"/>
      <c r="N17" s="270"/>
      <c r="O17" s="270"/>
      <c r="P17" s="270"/>
      <c r="Q17" s="270"/>
      <c r="R17" s="270"/>
      <c r="S17" s="270"/>
      <c r="T17" s="270"/>
      <c r="U17" s="270"/>
      <c r="V17" s="270"/>
      <c r="W17" s="270"/>
      <c r="X17" s="270"/>
      <c r="Y17" s="270"/>
      <c r="Z17" s="270"/>
      <c r="AA17" s="270"/>
      <c r="AB17" s="270"/>
      <c r="AC17" s="270"/>
      <c r="AD17" s="271"/>
    </row>
    <row r="18" spans="1:41" s="1" customFormat="1">
      <c r="D18" s="2"/>
      <c r="F18" s="60"/>
      <c r="G18" s="60"/>
      <c r="H18" s="60"/>
    </row>
    <row r="19" spans="1:41" s="1" customFormat="1">
      <c r="D19" s="2"/>
      <c r="E19" s="282" t="s">
        <v>22</v>
      </c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3"/>
      <c r="W19" s="283"/>
      <c r="X19" s="283"/>
      <c r="Y19" s="283"/>
      <c r="Z19" s="283"/>
      <c r="AA19" s="283"/>
      <c r="AB19" s="283"/>
      <c r="AC19" s="283"/>
      <c r="AD19" s="284"/>
    </row>
    <row r="20" spans="1:41" s="1" customFormat="1">
      <c r="D20" s="2"/>
      <c r="E20" s="26">
        <v>0</v>
      </c>
      <c r="F20" s="27">
        <f>E20+1</f>
        <v>1</v>
      </c>
      <c r="G20" s="27">
        <f t="shared" ref="G20:Y20" si="0">F20+1</f>
        <v>2</v>
      </c>
      <c r="H20" s="27">
        <f t="shared" si="0"/>
        <v>3</v>
      </c>
      <c r="I20" s="27">
        <f t="shared" si="0"/>
        <v>4</v>
      </c>
      <c r="J20" s="27">
        <f t="shared" si="0"/>
        <v>5</v>
      </c>
      <c r="K20" s="27">
        <f t="shared" si="0"/>
        <v>6</v>
      </c>
      <c r="L20" s="27">
        <f t="shared" si="0"/>
        <v>7</v>
      </c>
      <c r="M20" s="27">
        <f t="shared" si="0"/>
        <v>8</v>
      </c>
      <c r="N20" s="27">
        <f t="shared" si="0"/>
        <v>9</v>
      </c>
      <c r="O20" s="27">
        <f t="shared" ref="O20:S20" si="1">N20+1</f>
        <v>10</v>
      </c>
      <c r="P20" s="27">
        <f t="shared" si="1"/>
        <v>11</v>
      </c>
      <c r="Q20" s="27">
        <f t="shared" si="1"/>
        <v>12</v>
      </c>
      <c r="R20" s="27">
        <f t="shared" si="1"/>
        <v>13</v>
      </c>
      <c r="S20" s="27">
        <f t="shared" si="1"/>
        <v>14</v>
      </c>
      <c r="T20" s="27">
        <f t="shared" ref="T20" si="2">S20+1</f>
        <v>15</v>
      </c>
      <c r="U20" s="27">
        <f t="shared" si="0"/>
        <v>16</v>
      </c>
      <c r="V20" s="27">
        <f t="shared" si="0"/>
        <v>17</v>
      </c>
      <c r="W20" s="27">
        <f t="shared" si="0"/>
        <v>18</v>
      </c>
      <c r="X20" s="27">
        <f t="shared" si="0"/>
        <v>19</v>
      </c>
      <c r="Y20" s="27">
        <f t="shared" si="0"/>
        <v>20</v>
      </c>
      <c r="Z20" s="27">
        <f t="shared" ref="Z20" si="3">Y20+1</f>
        <v>21</v>
      </c>
      <c r="AA20" s="27">
        <f t="shared" ref="AA20" si="4">Z20+1</f>
        <v>22</v>
      </c>
      <c r="AB20" s="27">
        <f t="shared" ref="AB20" si="5">AA20+1</f>
        <v>23</v>
      </c>
      <c r="AC20" s="27">
        <f t="shared" ref="AC20" si="6">AB20+1</f>
        <v>24</v>
      </c>
      <c r="AD20" s="25">
        <f t="shared" ref="AD20" si="7">AC20+1</f>
        <v>25</v>
      </c>
    </row>
    <row r="21" spans="1:41" s="1" customFormat="1">
      <c r="B21" s="276" t="s">
        <v>11</v>
      </c>
      <c r="C21" s="277"/>
      <c r="D21" s="278"/>
      <c r="E21" s="152">
        <f>-(D5)</f>
        <v>-100</v>
      </c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137"/>
      <c r="AB21" s="137"/>
      <c r="AC21" s="137"/>
      <c r="AD21" s="138"/>
    </row>
    <row r="22" spans="1:41" s="1" customFormat="1">
      <c r="B22" s="279" t="s">
        <v>16</v>
      </c>
      <c r="C22" s="280"/>
      <c r="D22" s="281"/>
      <c r="E22" s="139"/>
      <c r="F22" s="140">
        <f>IF($D$7=F20,$D$9,0)</f>
        <v>0</v>
      </c>
      <c r="G22" s="140">
        <f t="shared" ref="G22:Y22" si="8">IF($D$7=G20,$D$9,0)</f>
        <v>0</v>
      </c>
      <c r="H22" s="140">
        <f t="shared" si="8"/>
        <v>0</v>
      </c>
      <c r="I22" s="140">
        <f t="shared" si="8"/>
        <v>0</v>
      </c>
      <c r="J22" s="140">
        <f t="shared" si="8"/>
        <v>0</v>
      </c>
      <c r="K22" s="140">
        <f t="shared" si="8"/>
        <v>0</v>
      </c>
      <c r="L22" s="140">
        <f t="shared" si="8"/>
        <v>0</v>
      </c>
      <c r="M22" s="140">
        <f t="shared" si="8"/>
        <v>0</v>
      </c>
      <c r="N22" s="140">
        <f t="shared" si="8"/>
        <v>0</v>
      </c>
      <c r="O22" s="140">
        <f t="shared" ref="O22:S22" si="9">IF($D$7=O20,$D$9,0)</f>
        <v>0</v>
      </c>
      <c r="P22" s="140">
        <f t="shared" si="9"/>
        <v>0</v>
      </c>
      <c r="Q22" s="140">
        <f t="shared" si="9"/>
        <v>0</v>
      </c>
      <c r="R22" s="140">
        <f t="shared" si="9"/>
        <v>0</v>
      </c>
      <c r="S22" s="140">
        <f t="shared" si="9"/>
        <v>0</v>
      </c>
      <c r="T22" s="140">
        <f t="shared" ref="T22" si="10">IF($D$7=T20,$D$9,0)</f>
        <v>0</v>
      </c>
      <c r="U22" s="140">
        <f t="shared" si="8"/>
        <v>0</v>
      </c>
      <c r="V22" s="140">
        <f t="shared" si="8"/>
        <v>0</v>
      </c>
      <c r="W22" s="140">
        <f t="shared" si="8"/>
        <v>0</v>
      </c>
      <c r="X22" s="140">
        <f t="shared" si="8"/>
        <v>0</v>
      </c>
      <c r="Y22" s="140">
        <f t="shared" si="8"/>
        <v>0</v>
      </c>
      <c r="Z22" s="140">
        <f t="shared" ref="Z22:AD22" si="11">IF($D$7=Z20,$D$9,0)</f>
        <v>0</v>
      </c>
      <c r="AA22" s="140">
        <f t="shared" si="11"/>
        <v>0</v>
      </c>
      <c r="AB22" s="140">
        <f t="shared" si="11"/>
        <v>0</v>
      </c>
      <c r="AC22" s="140">
        <f t="shared" si="11"/>
        <v>0</v>
      </c>
      <c r="AD22" s="141">
        <f t="shared" si="11"/>
        <v>0</v>
      </c>
    </row>
    <row r="23" spans="1:41" s="1" customFormat="1">
      <c r="B23" s="279" t="s">
        <v>13</v>
      </c>
      <c r="C23" s="280"/>
      <c r="D23" s="281"/>
      <c r="E23" s="142">
        <f>-D6</f>
        <v>0</v>
      </c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1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</row>
    <row r="24" spans="1:41" s="1" customFormat="1">
      <c r="B24" s="302" t="s">
        <v>35</v>
      </c>
      <c r="C24" s="303"/>
      <c r="D24" s="304"/>
      <c r="E24" s="146"/>
      <c r="F24" s="147">
        <f>Gegevens!F28</f>
        <v>20</v>
      </c>
      <c r="G24" s="147">
        <f>Gegevens!G28</f>
        <v>20</v>
      </c>
      <c r="H24" s="147">
        <f>Gegevens!H28</f>
        <v>20</v>
      </c>
      <c r="I24" s="147">
        <f>Gegevens!I28</f>
        <v>20</v>
      </c>
      <c r="J24" s="147">
        <f>Gegevens!J28</f>
        <v>20</v>
      </c>
      <c r="K24" s="147">
        <f>Gegevens!K28</f>
        <v>20</v>
      </c>
      <c r="L24" s="147">
        <f>Gegevens!L28</f>
        <v>20</v>
      </c>
      <c r="M24" s="147">
        <f>Gegevens!M28</f>
        <v>20</v>
      </c>
      <c r="N24" s="147">
        <f>Gegevens!N28</f>
        <v>20</v>
      </c>
      <c r="O24" s="147">
        <f>Gegevens!O28</f>
        <v>20</v>
      </c>
      <c r="P24" s="147">
        <f>Gegevens!P28</f>
        <v>0</v>
      </c>
      <c r="Q24" s="147">
        <f>Gegevens!Q28</f>
        <v>0</v>
      </c>
      <c r="R24" s="147">
        <f>Gegevens!R28</f>
        <v>0</v>
      </c>
      <c r="S24" s="147">
        <f>Gegevens!S28</f>
        <v>0</v>
      </c>
      <c r="T24" s="147">
        <f>Gegevens!T28</f>
        <v>0</v>
      </c>
      <c r="U24" s="147">
        <f>Gegevens!U28</f>
        <v>0</v>
      </c>
      <c r="V24" s="147">
        <f>Gegevens!V28</f>
        <v>0</v>
      </c>
      <c r="W24" s="147">
        <f>Gegevens!W28</f>
        <v>0</v>
      </c>
      <c r="X24" s="147">
        <f>Gegevens!X28</f>
        <v>0</v>
      </c>
      <c r="Y24" s="147">
        <f>Gegevens!Y28</f>
        <v>0</v>
      </c>
      <c r="Z24" s="147">
        <f>Gegevens!Z28</f>
        <v>0</v>
      </c>
      <c r="AA24" s="147">
        <f>Gegevens!AA28</f>
        <v>0</v>
      </c>
      <c r="AB24" s="147">
        <f>Gegevens!AB28</f>
        <v>0</v>
      </c>
      <c r="AC24" s="147">
        <f>Gegevens!AC28</f>
        <v>0</v>
      </c>
      <c r="AD24" s="148">
        <f>Gegevens!AD28</f>
        <v>0</v>
      </c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</row>
    <row r="25" spans="1:41" s="1" customFormat="1">
      <c r="B25" s="292" t="s">
        <v>36</v>
      </c>
      <c r="C25" s="293"/>
      <c r="D25" s="294"/>
      <c r="E25" s="149">
        <f>SUM(E21:E24)</f>
        <v>-100</v>
      </c>
      <c r="F25" s="150">
        <f t="shared" ref="F25:Y25" si="12">SUM(F21:F24)</f>
        <v>20</v>
      </c>
      <c r="G25" s="150">
        <f t="shared" si="12"/>
        <v>20</v>
      </c>
      <c r="H25" s="150">
        <f t="shared" si="12"/>
        <v>20</v>
      </c>
      <c r="I25" s="150">
        <f t="shared" si="12"/>
        <v>20</v>
      </c>
      <c r="J25" s="150">
        <f t="shared" si="12"/>
        <v>20</v>
      </c>
      <c r="K25" s="150">
        <f t="shared" si="12"/>
        <v>20</v>
      </c>
      <c r="L25" s="150">
        <f t="shared" si="12"/>
        <v>20</v>
      </c>
      <c r="M25" s="150">
        <f t="shared" si="12"/>
        <v>20</v>
      </c>
      <c r="N25" s="150">
        <f t="shared" si="12"/>
        <v>20</v>
      </c>
      <c r="O25" s="150">
        <f t="shared" ref="O25:S25" si="13">SUM(O21:O24)</f>
        <v>20</v>
      </c>
      <c r="P25" s="150">
        <f t="shared" si="13"/>
        <v>0</v>
      </c>
      <c r="Q25" s="150">
        <f t="shared" si="13"/>
        <v>0</v>
      </c>
      <c r="R25" s="150">
        <f t="shared" si="13"/>
        <v>0</v>
      </c>
      <c r="S25" s="150">
        <f t="shared" si="13"/>
        <v>0</v>
      </c>
      <c r="T25" s="150">
        <f t="shared" ref="T25" si="14">SUM(T21:T24)</f>
        <v>0</v>
      </c>
      <c r="U25" s="150">
        <f t="shared" si="12"/>
        <v>0</v>
      </c>
      <c r="V25" s="150">
        <f t="shared" si="12"/>
        <v>0</v>
      </c>
      <c r="W25" s="150">
        <f t="shared" si="12"/>
        <v>0</v>
      </c>
      <c r="X25" s="150">
        <f t="shared" si="12"/>
        <v>0</v>
      </c>
      <c r="Y25" s="150">
        <f t="shared" si="12"/>
        <v>0</v>
      </c>
      <c r="Z25" s="150">
        <f t="shared" ref="Z25:AD25" si="15">SUM(Z21:Z24)</f>
        <v>0</v>
      </c>
      <c r="AA25" s="150">
        <f t="shared" si="15"/>
        <v>0</v>
      </c>
      <c r="AB25" s="150">
        <f t="shared" si="15"/>
        <v>0</v>
      </c>
      <c r="AC25" s="150">
        <f t="shared" si="15"/>
        <v>0</v>
      </c>
      <c r="AD25" s="151">
        <f t="shared" si="15"/>
        <v>0</v>
      </c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</row>
    <row r="26" spans="1:41" s="1" customFormat="1">
      <c r="D26" s="2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</row>
    <row r="27" spans="1:41" s="60" customFormat="1">
      <c r="A27" s="305" t="s">
        <v>47</v>
      </c>
      <c r="B27" s="306"/>
      <c r="C27" s="306"/>
      <c r="D27" s="307"/>
    </row>
    <row r="28" spans="1:41" s="60" customFormat="1">
      <c r="A28" s="76" t="s">
        <v>48</v>
      </c>
      <c r="B28" s="77" t="s">
        <v>49</v>
      </c>
      <c r="C28" s="78">
        <f>IF(D7=0,"",IRR(E25:AD25))</f>
        <v>0.15098414477083444</v>
      </c>
      <c r="D28" s="79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</row>
    <row r="29" spans="1:41" s="1" customFormat="1">
      <c r="A29" s="81"/>
      <c r="B29" s="23"/>
      <c r="C29" s="82">
        <v>0</v>
      </c>
      <c r="D29" s="2"/>
    </row>
    <row r="30" spans="1:41" s="1" customFormat="1">
      <c r="A30" s="83" t="s">
        <v>50</v>
      </c>
      <c r="D30" s="2"/>
    </row>
    <row r="31" spans="1:41" s="1" customFormat="1"/>
    <row r="32" spans="1:41" s="1" customFormat="1" ht="20.100000000000001" customHeight="1">
      <c r="C32" s="309" t="s">
        <v>51</v>
      </c>
      <c r="D32" s="310" t="s">
        <v>52</v>
      </c>
      <c r="E32" s="282" t="s">
        <v>22</v>
      </c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83"/>
      <c r="AB32" s="283"/>
      <c r="AC32" s="283"/>
      <c r="AD32" s="284"/>
    </row>
    <row r="33" spans="1:30" s="1" customFormat="1">
      <c r="C33" s="309"/>
      <c r="D33" s="310"/>
      <c r="E33" s="26">
        <v>0</v>
      </c>
      <c r="F33" s="27">
        <f>E33+1</f>
        <v>1</v>
      </c>
      <c r="G33" s="27">
        <f t="shared" ref="G33:Y33" si="16">F33+1</f>
        <v>2</v>
      </c>
      <c r="H33" s="27">
        <f t="shared" si="16"/>
        <v>3</v>
      </c>
      <c r="I33" s="27">
        <f t="shared" si="16"/>
        <v>4</v>
      </c>
      <c r="J33" s="27">
        <f t="shared" si="16"/>
        <v>5</v>
      </c>
      <c r="K33" s="27">
        <f t="shared" si="16"/>
        <v>6</v>
      </c>
      <c r="L33" s="27">
        <f t="shared" si="16"/>
        <v>7</v>
      </c>
      <c r="M33" s="27">
        <f t="shared" si="16"/>
        <v>8</v>
      </c>
      <c r="N33" s="27">
        <f t="shared" si="16"/>
        <v>9</v>
      </c>
      <c r="O33" s="27">
        <f t="shared" si="16"/>
        <v>10</v>
      </c>
      <c r="P33" s="27">
        <f t="shared" si="16"/>
        <v>11</v>
      </c>
      <c r="Q33" s="27">
        <f t="shared" si="16"/>
        <v>12</v>
      </c>
      <c r="R33" s="27">
        <f t="shared" si="16"/>
        <v>13</v>
      </c>
      <c r="S33" s="27">
        <f t="shared" si="16"/>
        <v>14</v>
      </c>
      <c r="T33" s="27">
        <f t="shared" si="16"/>
        <v>15</v>
      </c>
      <c r="U33" s="27">
        <f t="shared" si="16"/>
        <v>16</v>
      </c>
      <c r="V33" s="27">
        <f t="shared" si="16"/>
        <v>17</v>
      </c>
      <c r="W33" s="27">
        <f t="shared" si="16"/>
        <v>18</v>
      </c>
      <c r="X33" s="27">
        <f t="shared" si="16"/>
        <v>19</v>
      </c>
      <c r="Y33" s="27">
        <f t="shared" si="16"/>
        <v>20</v>
      </c>
      <c r="Z33" s="27">
        <f t="shared" ref="Z33" si="17">Y33+1</f>
        <v>21</v>
      </c>
      <c r="AA33" s="27">
        <f t="shared" ref="AA33" si="18">Z33+1</f>
        <v>22</v>
      </c>
      <c r="AB33" s="27">
        <f t="shared" ref="AB33" si="19">AA33+1</f>
        <v>23</v>
      </c>
      <c r="AC33" s="27">
        <f t="shared" ref="AC33" si="20">AB33+1</f>
        <v>24</v>
      </c>
      <c r="AD33" s="25">
        <f t="shared" ref="AD33" si="21">AC33+1</f>
        <v>25</v>
      </c>
    </row>
    <row r="34" spans="1:30" s="1" customFormat="1">
      <c r="C34" s="84">
        <v>0</v>
      </c>
      <c r="D34" s="85">
        <f t="shared" ref="D34:D44" si="22">SUM(E34:Y34)</f>
        <v>100</v>
      </c>
      <c r="E34" s="86">
        <f t="shared" ref="E34:E44" si="23">SUM(E$21:E$24)</f>
        <v>-100</v>
      </c>
      <c r="F34" s="62">
        <f t="shared" ref="F34:U44" si="24">SUM(F$21:F$24)/POWER(1+$C34/100,F$20)</f>
        <v>20</v>
      </c>
      <c r="G34" s="62">
        <f t="shared" si="24"/>
        <v>20</v>
      </c>
      <c r="H34" s="62">
        <f t="shared" si="24"/>
        <v>20</v>
      </c>
      <c r="I34" s="62">
        <f t="shared" si="24"/>
        <v>20</v>
      </c>
      <c r="J34" s="62">
        <f t="shared" si="24"/>
        <v>20</v>
      </c>
      <c r="K34" s="62">
        <f t="shared" si="24"/>
        <v>20</v>
      </c>
      <c r="L34" s="62">
        <f t="shared" si="24"/>
        <v>20</v>
      </c>
      <c r="M34" s="62">
        <f t="shared" si="24"/>
        <v>20</v>
      </c>
      <c r="N34" s="62">
        <f t="shared" si="24"/>
        <v>20</v>
      </c>
      <c r="O34" s="62">
        <f t="shared" si="24"/>
        <v>20</v>
      </c>
      <c r="P34" s="62">
        <f t="shared" si="24"/>
        <v>0</v>
      </c>
      <c r="Q34" s="62">
        <f t="shared" si="24"/>
        <v>0</v>
      </c>
      <c r="R34" s="62">
        <f t="shared" si="24"/>
        <v>0</v>
      </c>
      <c r="S34" s="62">
        <f t="shared" si="24"/>
        <v>0</v>
      </c>
      <c r="T34" s="62">
        <f t="shared" si="24"/>
        <v>0</v>
      </c>
      <c r="U34" s="62">
        <f t="shared" si="24"/>
        <v>0</v>
      </c>
      <c r="V34" s="62">
        <f t="shared" ref="T34:AD44" si="25">SUM(V$21:V$24)/POWER(1+$C34/100,V$20)</f>
        <v>0</v>
      </c>
      <c r="W34" s="62">
        <f t="shared" si="25"/>
        <v>0</v>
      </c>
      <c r="X34" s="62">
        <f t="shared" si="25"/>
        <v>0</v>
      </c>
      <c r="Y34" s="62">
        <f t="shared" si="25"/>
        <v>0</v>
      </c>
      <c r="Z34" s="62">
        <f t="shared" si="25"/>
        <v>0</v>
      </c>
      <c r="AA34" s="62">
        <f t="shared" si="25"/>
        <v>0</v>
      </c>
      <c r="AB34" s="62">
        <f t="shared" si="25"/>
        <v>0</v>
      </c>
      <c r="AC34" s="62">
        <f t="shared" si="25"/>
        <v>0</v>
      </c>
      <c r="AD34" s="63">
        <f t="shared" si="25"/>
        <v>0</v>
      </c>
    </row>
    <row r="35" spans="1:30" s="1" customFormat="1">
      <c r="C35" s="87">
        <f>C34+5</f>
        <v>5</v>
      </c>
      <c r="D35" s="88">
        <f t="shared" si="22"/>
        <v>54.434698583696246</v>
      </c>
      <c r="E35" s="69">
        <f t="shared" si="23"/>
        <v>-100</v>
      </c>
      <c r="F35" s="89">
        <f t="shared" si="24"/>
        <v>19.047619047619047</v>
      </c>
      <c r="G35" s="89">
        <f t="shared" si="24"/>
        <v>18.140589569160998</v>
      </c>
      <c r="H35" s="89">
        <f t="shared" si="24"/>
        <v>17.276751970629519</v>
      </c>
      <c r="I35" s="89">
        <f t="shared" si="24"/>
        <v>16.454049495837641</v>
      </c>
      <c r="J35" s="89">
        <f t="shared" si="24"/>
        <v>15.670523329369178</v>
      </c>
      <c r="K35" s="89">
        <f t="shared" si="24"/>
        <v>14.924307932732553</v>
      </c>
      <c r="L35" s="89">
        <f t="shared" si="24"/>
        <v>14.21362660260243</v>
      </c>
      <c r="M35" s="89">
        <f t="shared" si="24"/>
        <v>13.536787240573744</v>
      </c>
      <c r="N35" s="89">
        <f t="shared" si="24"/>
        <v>12.892178324355946</v>
      </c>
      <c r="O35" s="89">
        <f t="shared" si="24"/>
        <v>12.278265070815186</v>
      </c>
      <c r="P35" s="67">
        <f t="shared" si="24"/>
        <v>0</v>
      </c>
      <c r="Q35" s="67">
        <f t="shared" si="24"/>
        <v>0</v>
      </c>
      <c r="R35" s="67">
        <f t="shared" si="24"/>
        <v>0</v>
      </c>
      <c r="S35" s="67">
        <f t="shared" si="24"/>
        <v>0</v>
      </c>
      <c r="T35" s="67">
        <f t="shared" si="25"/>
        <v>0</v>
      </c>
      <c r="U35" s="67">
        <f t="shared" si="25"/>
        <v>0</v>
      </c>
      <c r="V35" s="67">
        <f t="shared" si="25"/>
        <v>0</v>
      </c>
      <c r="W35" s="67">
        <f t="shared" si="25"/>
        <v>0</v>
      </c>
      <c r="X35" s="67">
        <f t="shared" si="25"/>
        <v>0</v>
      </c>
      <c r="Y35" s="67">
        <f t="shared" si="25"/>
        <v>0</v>
      </c>
      <c r="Z35" s="67">
        <f t="shared" si="25"/>
        <v>0</v>
      </c>
      <c r="AA35" s="67">
        <f t="shared" si="25"/>
        <v>0</v>
      </c>
      <c r="AB35" s="67">
        <f t="shared" si="25"/>
        <v>0</v>
      </c>
      <c r="AC35" s="67">
        <f t="shared" si="25"/>
        <v>0</v>
      </c>
      <c r="AD35" s="68">
        <f t="shared" si="25"/>
        <v>0</v>
      </c>
    </row>
    <row r="36" spans="1:30" s="1" customFormat="1">
      <c r="C36" s="87">
        <f>C35+5</f>
        <v>10</v>
      </c>
      <c r="D36" s="88">
        <f t="shared" si="22"/>
        <v>22.891342114093618</v>
      </c>
      <c r="E36" s="69">
        <f t="shared" si="23"/>
        <v>-100</v>
      </c>
      <c r="F36" s="89">
        <f t="shared" si="24"/>
        <v>18.18181818181818</v>
      </c>
      <c r="G36" s="89">
        <f t="shared" si="24"/>
        <v>16.528925619834709</v>
      </c>
      <c r="H36" s="89">
        <f t="shared" si="24"/>
        <v>15.02629601803155</v>
      </c>
      <c r="I36" s="89">
        <f t="shared" si="24"/>
        <v>13.66026910730141</v>
      </c>
      <c r="J36" s="89">
        <f t="shared" si="24"/>
        <v>12.418426461183099</v>
      </c>
      <c r="K36" s="89">
        <f t="shared" si="24"/>
        <v>11.289478601075544</v>
      </c>
      <c r="L36" s="89">
        <f t="shared" si="24"/>
        <v>10.263162364614129</v>
      </c>
      <c r="M36" s="89">
        <f t="shared" si="24"/>
        <v>9.3301476041946643</v>
      </c>
      <c r="N36" s="89">
        <f t="shared" si="24"/>
        <v>8.4819523674496935</v>
      </c>
      <c r="O36" s="89">
        <f t="shared" si="24"/>
        <v>7.7108657885906293</v>
      </c>
      <c r="P36" s="67">
        <f t="shared" si="24"/>
        <v>0</v>
      </c>
      <c r="Q36" s="67">
        <f t="shared" si="24"/>
        <v>0</v>
      </c>
      <c r="R36" s="67">
        <f t="shared" si="24"/>
        <v>0</v>
      </c>
      <c r="S36" s="67">
        <f t="shared" si="24"/>
        <v>0</v>
      </c>
      <c r="T36" s="67">
        <f t="shared" si="25"/>
        <v>0</v>
      </c>
      <c r="U36" s="67">
        <f t="shared" si="25"/>
        <v>0</v>
      </c>
      <c r="V36" s="67">
        <f t="shared" si="25"/>
        <v>0</v>
      </c>
      <c r="W36" s="67">
        <f t="shared" si="25"/>
        <v>0</v>
      </c>
      <c r="X36" s="67">
        <f t="shared" si="25"/>
        <v>0</v>
      </c>
      <c r="Y36" s="67">
        <f t="shared" si="25"/>
        <v>0</v>
      </c>
      <c r="Z36" s="67">
        <f t="shared" si="25"/>
        <v>0</v>
      </c>
      <c r="AA36" s="67">
        <f t="shared" si="25"/>
        <v>0</v>
      </c>
      <c r="AB36" s="67">
        <f t="shared" si="25"/>
        <v>0</v>
      </c>
      <c r="AC36" s="67">
        <f t="shared" si="25"/>
        <v>0</v>
      </c>
      <c r="AD36" s="68">
        <f t="shared" si="25"/>
        <v>0</v>
      </c>
    </row>
    <row r="37" spans="1:30" s="1" customFormat="1">
      <c r="A37" s="75"/>
      <c r="C37" s="87">
        <f t="shared" ref="C37:C44" si="26">C36+5</f>
        <v>15</v>
      </c>
      <c r="D37" s="88">
        <f t="shared" si="22"/>
        <v>0.37537251708461383</v>
      </c>
      <c r="E37" s="69">
        <f t="shared" si="23"/>
        <v>-100</v>
      </c>
      <c r="F37" s="89">
        <f t="shared" si="24"/>
        <v>17.39130434782609</v>
      </c>
      <c r="G37" s="89">
        <f t="shared" si="24"/>
        <v>15.12287334593573</v>
      </c>
      <c r="H37" s="89">
        <f t="shared" si="24"/>
        <v>13.150324648639767</v>
      </c>
      <c r="I37" s="89">
        <f t="shared" si="24"/>
        <v>11.435064911860668</v>
      </c>
      <c r="J37" s="89">
        <f t="shared" si="24"/>
        <v>9.9435347059657975</v>
      </c>
      <c r="K37" s="89">
        <f t="shared" si="24"/>
        <v>8.646551918231129</v>
      </c>
      <c r="L37" s="89">
        <f t="shared" si="24"/>
        <v>7.5187407984618533</v>
      </c>
      <c r="M37" s="89">
        <f t="shared" si="24"/>
        <v>6.5380354769233513</v>
      </c>
      <c r="N37" s="89">
        <f t="shared" si="24"/>
        <v>5.6852482408029141</v>
      </c>
      <c r="O37" s="89">
        <f t="shared" si="24"/>
        <v>4.943694122437317</v>
      </c>
      <c r="P37" s="67">
        <f t="shared" si="24"/>
        <v>0</v>
      </c>
      <c r="Q37" s="67">
        <f t="shared" si="24"/>
        <v>0</v>
      </c>
      <c r="R37" s="67">
        <f t="shared" si="24"/>
        <v>0</v>
      </c>
      <c r="S37" s="67">
        <f t="shared" si="24"/>
        <v>0</v>
      </c>
      <c r="T37" s="67">
        <f t="shared" si="25"/>
        <v>0</v>
      </c>
      <c r="U37" s="67">
        <f t="shared" si="25"/>
        <v>0</v>
      </c>
      <c r="V37" s="67">
        <f t="shared" si="25"/>
        <v>0</v>
      </c>
      <c r="W37" s="67">
        <f t="shared" si="25"/>
        <v>0</v>
      </c>
      <c r="X37" s="67">
        <f t="shared" si="25"/>
        <v>0</v>
      </c>
      <c r="Y37" s="67">
        <f t="shared" si="25"/>
        <v>0</v>
      </c>
      <c r="Z37" s="67">
        <f t="shared" si="25"/>
        <v>0</v>
      </c>
      <c r="AA37" s="67">
        <f t="shared" si="25"/>
        <v>0</v>
      </c>
      <c r="AB37" s="67">
        <f t="shared" si="25"/>
        <v>0</v>
      </c>
      <c r="AC37" s="67">
        <f t="shared" si="25"/>
        <v>0</v>
      </c>
      <c r="AD37" s="68">
        <f t="shared" si="25"/>
        <v>0</v>
      </c>
    </row>
    <row r="38" spans="1:30" s="1" customFormat="1">
      <c r="C38" s="87">
        <f t="shared" si="26"/>
        <v>20</v>
      </c>
      <c r="D38" s="88">
        <f t="shared" si="22"/>
        <v>-16.15055828898457</v>
      </c>
      <c r="E38" s="69">
        <f t="shared" si="23"/>
        <v>-100</v>
      </c>
      <c r="F38" s="89">
        <f t="shared" si="24"/>
        <v>16.666666666666668</v>
      </c>
      <c r="G38" s="89">
        <f t="shared" si="24"/>
        <v>13.888888888888889</v>
      </c>
      <c r="H38" s="89">
        <f t="shared" si="24"/>
        <v>11.574074074074074</v>
      </c>
      <c r="I38" s="89">
        <f t="shared" si="24"/>
        <v>9.6450617283950617</v>
      </c>
      <c r="J38" s="89">
        <f t="shared" si="24"/>
        <v>8.037551440329219</v>
      </c>
      <c r="K38" s="89">
        <f t="shared" si="24"/>
        <v>6.6979595336076825</v>
      </c>
      <c r="L38" s="89">
        <f t="shared" si="24"/>
        <v>5.5816329446730686</v>
      </c>
      <c r="M38" s="89">
        <f t="shared" si="24"/>
        <v>4.6513607872275573</v>
      </c>
      <c r="N38" s="89">
        <f t="shared" si="24"/>
        <v>3.8761339893562976</v>
      </c>
      <c r="O38" s="89">
        <f t="shared" si="24"/>
        <v>3.2301116577969151</v>
      </c>
      <c r="P38" s="67">
        <f t="shared" si="24"/>
        <v>0</v>
      </c>
      <c r="Q38" s="67">
        <f t="shared" si="24"/>
        <v>0</v>
      </c>
      <c r="R38" s="67">
        <f t="shared" si="24"/>
        <v>0</v>
      </c>
      <c r="S38" s="67">
        <f t="shared" si="24"/>
        <v>0</v>
      </c>
      <c r="T38" s="67">
        <f t="shared" si="25"/>
        <v>0</v>
      </c>
      <c r="U38" s="67">
        <f t="shared" si="25"/>
        <v>0</v>
      </c>
      <c r="V38" s="67">
        <f t="shared" si="25"/>
        <v>0</v>
      </c>
      <c r="W38" s="67">
        <f t="shared" si="25"/>
        <v>0</v>
      </c>
      <c r="X38" s="67">
        <f t="shared" si="25"/>
        <v>0</v>
      </c>
      <c r="Y38" s="67">
        <f t="shared" si="25"/>
        <v>0</v>
      </c>
      <c r="Z38" s="67">
        <f t="shared" si="25"/>
        <v>0</v>
      </c>
      <c r="AA38" s="67">
        <f t="shared" si="25"/>
        <v>0</v>
      </c>
      <c r="AB38" s="67">
        <f t="shared" si="25"/>
        <v>0</v>
      </c>
      <c r="AC38" s="67">
        <f t="shared" si="25"/>
        <v>0</v>
      </c>
      <c r="AD38" s="68">
        <f t="shared" si="25"/>
        <v>0</v>
      </c>
    </row>
    <row r="39" spans="1:30" s="1" customFormat="1">
      <c r="C39" s="87">
        <f t="shared" si="26"/>
        <v>25</v>
      </c>
      <c r="D39" s="88">
        <f t="shared" si="22"/>
        <v>-28.589934591999999</v>
      </c>
      <c r="E39" s="69">
        <f t="shared" si="23"/>
        <v>-100</v>
      </c>
      <c r="F39" s="89">
        <f t="shared" si="24"/>
        <v>16</v>
      </c>
      <c r="G39" s="89">
        <f t="shared" si="24"/>
        <v>12.8</v>
      </c>
      <c r="H39" s="89">
        <f t="shared" si="24"/>
        <v>10.24</v>
      </c>
      <c r="I39" s="89">
        <f t="shared" si="24"/>
        <v>8.1920000000000002</v>
      </c>
      <c r="J39" s="89">
        <f t="shared" si="24"/>
        <v>6.5536000000000003</v>
      </c>
      <c r="K39" s="89">
        <f t="shared" si="24"/>
        <v>5.2428800000000004</v>
      </c>
      <c r="L39" s="89">
        <f t="shared" si="24"/>
        <v>4.1943039999999998</v>
      </c>
      <c r="M39" s="89">
        <f t="shared" si="24"/>
        <v>3.3554431999999998</v>
      </c>
      <c r="N39" s="89">
        <f t="shared" si="24"/>
        <v>2.6843545600000001</v>
      </c>
      <c r="O39" s="89">
        <f t="shared" si="24"/>
        <v>2.1474836480000001</v>
      </c>
      <c r="P39" s="67">
        <f t="shared" si="24"/>
        <v>0</v>
      </c>
      <c r="Q39" s="67">
        <f t="shared" si="24"/>
        <v>0</v>
      </c>
      <c r="R39" s="67">
        <f t="shared" si="24"/>
        <v>0</v>
      </c>
      <c r="S39" s="67">
        <f t="shared" si="24"/>
        <v>0</v>
      </c>
      <c r="T39" s="67">
        <f t="shared" si="25"/>
        <v>0</v>
      </c>
      <c r="U39" s="67">
        <f t="shared" si="25"/>
        <v>0</v>
      </c>
      <c r="V39" s="67">
        <f t="shared" si="25"/>
        <v>0</v>
      </c>
      <c r="W39" s="67">
        <f t="shared" si="25"/>
        <v>0</v>
      </c>
      <c r="X39" s="67">
        <f t="shared" si="25"/>
        <v>0</v>
      </c>
      <c r="Y39" s="67">
        <f t="shared" si="25"/>
        <v>0</v>
      </c>
      <c r="Z39" s="67">
        <f t="shared" si="25"/>
        <v>0</v>
      </c>
      <c r="AA39" s="67">
        <f t="shared" si="25"/>
        <v>0</v>
      </c>
      <c r="AB39" s="67">
        <f t="shared" si="25"/>
        <v>0</v>
      </c>
      <c r="AC39" s="67">
        <f t="shared" si="25"/>
        <v>0</v>
      </c>
      <c r="AD39" s="68">
        <f t="shared" si="25"/>
        <v>0</v>
      </c>
    </row>
    <row r="40" spans="1:30" s="1" customFormat="1">
      <c r="C40" s="87">
        <f t="shared" si="26"/>
        <v>30</v>
      </c>
      <c r="D40" s="88">
        <f t="shared" si="22"/>
        <v>-38.169210019093732</v>
      </c>
      <c r="E40" s="69">
        <f t="shared" si="23"/>
        <v>-100</v>
      </c>
      <c r="F40" s="89">
        <f t="shared" si="24"/>
        <v>15.384615384615383</v>
      </c>
      <c r="G40" s="89">
        <f t="shared" si="24"/>
        <v>11.834319526627217</v>
      </c>
      <c r="H40" s="89">
        <f t="shared" si="24"/>
        <v>9.1033227127901668</v>
      </c>
      <c r="I40" s="89">
        <f t="shared" si="24"/>
        <v>7.0025559329155129</v>
      </c>
      <c r="J40" s="89">
        <f t="shared" si="24"/>
        <v>5.3865814868580868</v>
      </c>
      <c r="K40" s="89">
        <f t="shared" si="24"/>
        <v>4.1435242206600664</v>
      </c>
      <c r="L40" s="89">
        <f t="shared" si="24"/>
        <v>3.1873263235846658</v>
      </c>
      <c r="M40" s="89">
        <f t="shared" si="24"/>
        <v>2.4517894796805124</v>
      </c>
      <c r="N40" s="89">
        <f t="shared" si="24"/>
        <v>1.8859919074465481</v>
      </c>
      <c r="O40" s="89">
        <f t="shared" si="24"/>
        <v>1.4507630057281138</v>
      </c>
      <c r="P40" s="67">
        <f t="shared" si="24"/>
        <v>0</v>
      </c>
      <c r="Q40" s="67">
        <f t="shared" si="24"/>
        <v>0</v>
      </c>
      <c r="R40" s="67">
        <f t="shared" si="24"/>
        <v>0</v>
      </c>
      <c r="S40" s="67">
        <f t="shared" si="24"/>
        <v>0</v>
      </c>
      <c r="T40" s="67">
        <f t="shared" si="25"/>
        <v>0</v>
      </c>
      <c r="U40" s="67">
        <f t="shared" si="25"/>
        <v>0</v>
      </c>
      <c r="V40" s="67">
        <f t="shared" si="25"/>
        <v>0</v>
      </c>
      <c r="W40" s="67">
        <f t="shared" si="25"/>
        <v>0</v>
      </c>
      <c r="X40" s="67">
        <f t="shared" si="25"/>
        <v>0</v>
      </c>
      <c r="Y40" s="67">
        <f t="shared" si="25"/>
        <v>0</v>
      </c>
      <c r="Z40" s="67">
        <f t="shared" si="25"/>
        <v>0</v>
      </c>
      <c r="AA40" s="67">
        <f t="shared" si="25"/>
        <v>0</v>
      </c>
      <c r="AB40" s="67">
        <f t="shared" si="25"/>
        <v>0</v>
      </c>
      <c r="AC40" s="67">
        <f t="shared" si="25"/>
        <v>0</v>
      </c>
      <c r="AD40" s="68">
        <f t="shared" si="25"/>
        <v>0</v>
      </c>
    </row>
    <row r="41" spans="1:30" s="1" customFormat="1">
      <c r="C41" s="87">
        <f t="shared" si="26"/>
        <v>35</v>
      </c>
      <c r="D41" s="88">
        <f t="shared" si="22"/>
        <v>-45.699144118634145</v>
      </c>
      <c r="E41" s="69">
        <f t="shared" si="23"/>
        <v>-100</v>
      </c>
      <c r="F41" s="89">
        <f t="shared" si="24"/>
        <v>14.814814814814813</v>
      </c>
      <c r="G41" s="89">
        <f t="shared" si="24"/>
        <v>10.973936899862824</v>
      </c>
      <c r="H41" s="89">
        <f t="shared" si="24"/>
        <v>8.1288421480465356</v>
      </c>
      <c r="I41" s="89">
        <f t="shared" si="24"/>
        <v>6.021364554108545</v>
      </c>
      <c r="J41" s="89">
        <f t="shared" si="24"/>
        <v>4.4602700400804034</v>
      </c>
      <c r="K41" s="89">
        <f t="shared" si="24"/>
        <v>3.3039037333928913</v>
      </c>
      <c r="L41" s="89">
        <f t="shared" si="24"/>
        <v>2.4473360988095489</v>
      </c>
      <c r="M41" s="89">
        <f t="shared" si="24"/>
        <v>1.8128415546737398</v>
      </c>
      <c r="N41" s="89">
        <f t="shared" si="24"/>
        <v>1.3428455960546219</v>
      </c>
      <c r="O41" s="89">
        <f t="shared" si="24"/>
        <v>0.99470044152194204</v>
      </c>
      <c r="P41" s="67">
        <f t="shared" si="24"/>
        <v>0</v>
      </c>
      <c r="Q41" s="67">
        <f t="shared" si="24"/>
        <v>0</v>
      </c>
      <c r="R41" s="67">
        <f t="shared" si="24"/>
        <v>0</v>
      </c>
      <c r="S41" s="67">
        <f t="shared" si="24"/>
        <v>0</v>
      </c>
      <c r="T41" s="67">
        <f t="shared" si="25"/>
        <v>0</v>
      </c>
      <c r="U41" s="67">
        <f t="shared" si="25"/>
        <v>0</v>
      </c>
      <c r="V41" s="67">
        <f t="shared" si="25"/>
        <v>0</v>
      </c>
      <c r="W41" s="67">
        <f t="shared" si="25"/>
        <v>0</v>
      </c>
      <c r="X41" s="67">
        <f t="shared" si="25"/>
        <v>0</v>
      </c>
      <c r="Y41" s="67">
        <f t="shared" si="25"/>
        <v>0</v>
      </c>
      <c r="Z41" s="67">
        <f t="shared" si="25"/>
        <v>0</v>
      </c>
      <c r="AA41" s="67">
        <f t="shared" si="25"/>
        <v>0</v>
      </c>
      <c r="AB41" s="67">
        <f t="shared" si="25"/>
        <v>0</v>
      </c>
      <c r="AC41" s="67">
        <f t="shared" si="25"/>
        <v>0</v>
      </c>
      <c r="AD41" s="68">
        <f t="shared" si="25"/>
        <v>0</v>
      </c>
    </row>
    <row r="42" spans="1:30" s="1" customFormat="1">
      <c r="C42" s="87">
        <f t="shared" si="26"/>
        <v>40</v>
      </c>
      <c r="D42" s="88">
        <f t="shared" si="22"/>
        <v>-51.728580651680389</v>
      </c>
      <c r="E42" s="69">
        <f t="shared" si="23"/>
        <v>-100</v>
      </c>
      <c r="F42" s="89">
        <f t="shared" si="24"/>
        <v>14.285714285714286</v>
      </c>
      <c r="G42" s="89">
        <f t="shared" si="24"/>
        <v>10.204081632653063</v>
      </c>
      <c r="H42" s="89">
        <f t="shared" si="24"/>
        <v>7.2886297376093312</v>
      </c>
      <c r="I42" s="89">
        <f t="shared" si="24"/>
        <v>5.2061640982923798</v>
      </c>
      <c r="J42" s="89">
        <f t="shared" si="24"/>
        <v>3.7186886416374141</v>
      </c>
      <c r="K42" s="89">
        <f t="shared" si="24"/>
        <v>2.6562061725981532</v>
      </c>
      <c r="L42" s="89">
        <f t="shared" si="24"/>
        <v>1.8972901232843955</v>
      </c>
      <c r="M42" s="89">
        <f t="shared" si="24"/>
        <v>1.3552072309174255</v>
      </c>
      <c r="N42" s="89">
        <f t="shared" si="24"/>
        <v>0.96800516494101818</v>
      </c>
      <c r="O42" s="89">
        <f t="shared" si="24"/>
        <v>0.69143226067215591</v>
      </c>
      <c r="P42" s="67">
        <f t="shared" si="24"/>
        <v>0</v>
      </c>
      <c r="Q42" s="67">
        <f t="shared" si="24"/>
        <v>0</v>
      </c>
      <c r="R42" s="67">
        <f t="shared" si="24"/>
        <v>0</v>
      </c>
      <c r="S42" s="67">
        <f t="shared" si="24"/>
        <v>0</v>
      </c>
      <c r="T42" s="67">
        <f t="shared" si="25"/>
        <v>0</v>
      </c>
      <c r="U42" s="67">
        <f t="shared" si="25"/>
        <v>0</v>
      </c>
      <c r="V42" s="67">
        <f t="shared" si="25"/>
        <v>0</v>
      </c>
      <c r="W42" s="67">
        <f t="shared" si="25"/>
        <v>0</v>
      </c>
      <c r="X42" s="67">
        <f t="shared" si="25"/>
        <v>0</v>
      </c>
      <c r="Y42" s="67">
        <f t="shared" si="25"/>
        <v>0</v>
      </c>
      <c r="Z42" s="67">
        <f t="shared" si="25"/>
        <v>0</v>
      </c>
      <c r="AA42" s="67">
        <f t="shared" si="25"/>
        <v>0</v>
      </c>
      <c r="AB42" s="67">
        <f t="shared" si="25"/>
        <v>0</v>
      </c>
      <c r="AC42" s="67">
        <f t="shared" si="25"/>
        <v>0</v>
      </c>
      <c r="AD42" s="68">
        <f t="shared" si="25"/>
        <v>0</v>
      </c>
    </row>
    <row r="43" spans="1:30" s="1" customFormat="1">
      <c r="C43" s="87">
        <f t="shared" si="26"/>
        <v>45</v>
      </c>
      <c r="D43" s="88">
        <f t="shared" si="22"/>
        <v>-56.637331848159405</v>
      </c>
      <c r="E43" s="69">
        <f t="shared" si="23"/>
        <v>-100</v>
      </c>
      <c r="F43" s="89">
        <f t="shared" si="24"/>
        <v>13.793103448275863</v>
      </c>
      <c r="G43" s="89">
        <f t="shared" si="24"/>
        <v>9.512485136741974</v>
      </c>
      <c r="H43" s="89">
        <f t="shared" si="24"/>
        <v>6.56033457706343</v>
      </c>
      <c r="I43" s="89">
        <f t="shared" si="24"/>
        <v>4.5243686738368485</v>
      </c>
      <c r="J43" s="89">
        <f t="shared" si="24"/>
        <v>3.1202542578185164</v>
      </c>
      <c r="K43" s="89">
        <f t="shared" si="24"/>
        <v>2.151899488150701</v>
      </c>
      <c r="L43" s="89">
        <f t="shared" si="24"/>
        <v>1.4840686125177247</v>
      </c>
      <c r="M43" s="89">
        <f t="shared" si="24"/>
        <v>1.0234955948398101</v>
      </c>
      <c r="N43" s="89">
        <f t="shared" si="24"/>
        <v>0.70585903092400704</v>
      </c>
      <c r="O43" s="89">
        <f t="shared" si="24"/>
        <v>0.48679933167172901</v>
      </c>
      <c r="P43" s="67">
        <f t="shared" si="24"/>
        <v>0</v>
      </c>
      <c r="Q43" s="67">
        <f t="shared" si="24"/>
        <v>0</v>
      </c>
      <c r="R43" s="67">
        <f t="shared" si="24"/>
        <v>0</v>
      </c>
      <c r="S43" s="67">
        <f t="shared" si="24"/>
        <v>0</v>
      </c>
      <c r="T43" s="67">
        <f t="shared" si="25"/>
        <v>0</v>
      </c>
      <c r="U43" s="67">
        <f t="shared" si="25"/>
        <v>0</v>
      </c>
      <c r="V43" s="67">
        <f t="shared" si="25"/>
        <v>0</v>
      </c>
      <c r="W43" s="67">
        <f t="shared" si="25"/>
        <v>0</v>
      </c>
      <c r="X43" s="67">
        <f t="shared" si="25"/>
        <v>0</v>
      </c>
      <c r="Y43" s="67">
        <f t="shared" si="25"/>
        <v>0</v>
      </c>
      <c r="Z43" s="67">
        <f t="shared" si="25"/>
        <v>0</v>
      </c>
      <c r="AA43" s="67">
        <f t="shared" si="25"/>
        <v>0</v>
      </c>
      <c r="AB43" s="67">
        <f t="shared" si="25"/>
        <v>0</v>
      </c>
      <c r="AC43" s="67">
        <f t="shared" si="25"/>
        <v>0</v>
      </c>
      <c r="AD43" s="68">
        <f t="shared" si="25"/>
        <v>0</v>
      </c>
    </row>
    <row r="44" spans="1:30" s="1" customFormat="1">
      <c r="C44" s="90">
        <f t="shared" si="26"/>
        <v>50</v>
      </c>
      <c r="D44" s="91">
        <f t="shared" si="22"/>
        <v>-60.693661196633307</v>
      </c>
      <c r="E44" s="28">
        <f t="shared" si="23"/>
        <v>-100</v>
      </c>
      <c r="F44" s="92">
        <f t="shared" si="24"/>
        <v>13.333333333333334</v>
      </c>
      <c r="G44" s="92">
        <f t="shared" si="24"/>
        <v>8.8888888888888893</v>
      </c>
      <c r="H44" s="92">
        <f t="shared" si="24"/>
        <v>5.9259259259259256</v>
      </c>
      <c r="I44" s="92">
        <f t="shared" si="24"/>
        <v>3.9506172839506171</v>
      </c>
      <c r="J44" s="92">
        <f t="shared" si="24"/>
        <v>2.6337448559670782</v>
      </c>
      <c r="K44" s="92">
        <f t="shared" si="24"/>
        <v>1.7558299039780521</v>
      </c>
      <c r="L44" s="92">
        <f t="shared" si="24"/>
        <v>1.1705532693187015</v>
      </c>
      <c r="M44" s="92">
        <f t="shared" si="24"/>
        <v>0.7803688462124676</v>
      </c>
      <c r="N44" s="92">
        <f t="shared" si="24"/>
        <v>0.5202458974749784</v>
      </c>
      <c r="O44" s="92">
        <f t="shared" si="24"/>
        <v>0.34683059831665225</v>
      </c>
      <c r="P44" s="70">
        <f t="shared" si="24"/>
        <v>0</v>
      </c>
      <c r="Q44" s="70">
        <f t="shared" si="24"/>
        <v>0</v>
      </c>
      <c r="R44" s="70">
        <f t="shared" si="24"/>
        <v>0</v>
      </c>
      <c r="S44" s="70">
        <f t="shared" si="24"/>
        <v>0</v>
      </c>
      <c r="T44" s="70">
        <f t="shared" si="25"/>
        <v>0</v>
      </c>
      <c r="U44" s="70">
        <f t="shared" si="25"/>
        <v>0</v>
      </c>
      <c r="V44" s="70">
        <f t="shared" si="25"/>
        <v>0</v>
      </c>
      <c r="W44" s="70">
        <f t="shared" si="25"/>
        <v>0</v>
      </c>
      <c r="X44" s="70">
        <f t="shared" si="25"/>
        <v>0</v>
      </c>
      <c r="Y44" s="70">
        <f t="shared" si="25"/>
        <v>0</v>
      </c>
      <c r="Z44" s="70">
        <f t="shared" si="25"/>
        <v>0</v>
      </c>
      <c r="AA44" s="70">
        <f t="shared" si="25"/>
        <v>0</v>
      </c>
      <c r="AB44" s="70">
        <f t="shared" si="25"/>
        <v>0</v>
      </c>
      <c r="AC44" s="70">
        <f t="shared" si="25"/>
        <v>0</v>
      </c>
      <c r="AD44" s="71">
        <f t="shared" si="25"/>
        <v>0</v>
      </c>
    </row>
    <row r="45" spans="1:30" s="1" customFormat="1">
      <c r="D45" s="93"/>
      <c r="F45" s="94"/>
      <c r="G45" s="94"/>
      <c r="H45" s="94"/>
      <c r="I45" s="94"/>
      <c r="J45" s="94"/>
      <c r="K45" s="94"/>
      <c r="L45" s="94"/>
      <c r="M45" s="94"/>
      <c r="N45" s="94"/>
      <c r="O45" s="94"/>
    </row>
    <row r="46" spans="1:30" s="1" customFormat="1">
      <c r="C46" s="295" t="s">
        <v>53</v>
      </c>
      <c r="D46" s="296"/>
      <c r="E46" s="296"/>
      <c r="F46" s="296"/>
      <c r="G46" s="296"/>
      <c r="H46" s="296"/>
      <c r="I46" s="296"/>
      <c r="J46" s="296"/>
      <c r="K46" s="296"/>
      <c r="L46" s="296"/>
      <c r="M46" s="296"/>
      <c r="N46" s="296"/>
      <c r="O46" s="296"/>
      <c r="P46" s="296"/>
      <c r="Q46" s="296"/>
      <c r="R46" s="296"/>
      <c r="S46" s="296"/>
      <c r="T46" s="296"/>
      <c r="U46" s="296"/>
      <c r="V46" s="296"/>
      <c r="W46" s="296"/>
      <c r="X46" s="296"/>
      <c r="Y46" s="296"/>
      <c r="Z46" s="296"/>
      <c r="AA46" s="296"/>
      <c r="AB46" s="296"/>
      <c r="AC46" s="296"/>
      <c r="AD46" s="297"/>
    </row>
    <row r="47" spans="1:30" s="1" customFormat="1"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</row>
    <row r="48" spans="1:30" s="1" customFormat="1">
      <c r="D48" s="99"/>
    </row>
    <row r="49" spans="1:30" s="100" customFormat="1" ht="20.100000000000001" customHeight="1">
      <c r="A49" s="265" t="s">
        <v>54</v>
      </c>
      <c r="B49" s="266"/>
      <c r="C49" s="266"/>
      <c r="D49" s="266"/>
      <c r="E49" s="266"/>
      <c r="F49" s="266"/>
      <c r="G49" s="266"/>
      <c r="H49" s="266"/>
      <c r="I49" s="266"/>
      <c r="J49" s="266"/>
      <c r="K49" s="266"/>
      <c r="L49" s="266"/>
      <c r="M49" s="266"/>
      <c r="N49" s="266"/>
      <c r="O49" s="266"/>
      <c r="P49" s="266"/>
      <c r="Q49" s="266"/>
      <c r="R49" s="266"/>
      <c r="S49" s="266"/>
      <c r="T49" s="266"/>
      <c r="U49" s="266"/>
      <c r="V49" s="266"/>
      <c r="W49" s="266"/>
      <c r="X49" s="266"/>
      <c r="Y49" s="266"/>
      <c r="Z49" s="266"/>
      <c r="AA49" s="266"/>
      <c r="AB49" s="266"/>
      <c r="AC49" s="266"/>
      <c r="AD49" s="267"/>
    </row>
    <row r="50" spans="1:30" s="1" customFormat="1">
      <c r="A50" s="60"/>
      <c r="B50" s="60"/>
      <c r="D50" s="99"/>
      <c r="G50" s="60"/>
    </row>
    <row r="51" spans="1:30" s="1" customFormat="1" ht="20.100000000000001" customHeight="1">
      <c r="D51" s="101"/>
      <c r="E51" s="282" t="s">
        <v>22</v>
      </c>
      <c r="F51" s="283"/>
      <c r="G51" s="283"/>
      <c r="H51" s="283"/>
      <c r="I51" s="283"/>
      <c r="J51" s="283"/>
      <c r="K51" s="283"/>
      <c r="L51" s="283"/>
      <c r="M51" s="283"/>
      <c r="N51" s="283"/>
      <c r="O51" s="283"/>
      <c r="P51" s="283"/>
      <c r="Q51" s="283"/>
      <c r="R51" s="283"/>
      <c r="S51" s="283"/>
      <c r="T51" s="283"/>
      <c r="U51" s="283"/>
      <c r="V51" s="283"/>
      <c r="W51" s="283"/>
      <c r="X51" s="283"/>
      <c r="Y51" s="283"/>
      <c r="Z51" s="283"/>
      <c r="AA51" s="283"/>
      <c r="AB51" s="283"/>
      <c r="AC51" s="283"/>
      <c r="AD51" s="284"/>
    </row>
    <row r="52" spans="1:30" s="1" customFormat="1">
      <c r="D52" s="99"/>
      <c r="E52" s="26">
        <v>0</v>
      </c>
      <c r="F52" s="27">
        <f>E52+1</f>
        <v>1</v>
      </c>
      <c r="G52" s="27">
        <f t="shared" ref="G52:P52" si="27">F52+1</f>
        <v>2</v>
      </c>
      <c r="H52" s="27">
        <f t="shared" si="27"/>
        <v>3</v>
      </c>
      <c r="I52" s="27">
        <f t="shared" si="27"/>
        <v>4</v>
      </c>
      <c r="J52" s="27">
        <f t="shared" si="27"/>
        <v>5</v>
      </c>
      <c r="K52" s="27">
        <f t="shared" si="27"/>
        <v>6</v>
      </c>
      <c r="L52" s="27">
        <f t="shared" si="27"/>
        <v>7</v>
      </c>
      <c r="M52" s="27">
        <f t="shared" si="27"/>
        <v>8</v>
      </c>
      <c r="N52" s="27">
        <f t="shared" si="27"/>
        <v>9</v>
      </c>
      <c r="O52" s="27">
        <f t="shared" si="27"/>
        <v>10</v>
      </c>
      <c r="P52" s="27">
        <f t="shared" si="27"/>
        <v>11</v>
      </c>
      <c r="Q52" s="27">
        <f t="shared" ref="Q52:Y52" si="28">P52+1</f>
        <v>12</v>
      </c>
      <c r="R52" s="27">
        <f t="shared" si="28"/>
        <v>13</v>
      </c>
      <c r="S52" s="27">
        <f t="shared" si="28"/>
        <v>14</v>
      </c>
      <c r="T52" s="27">
        <f t="shared" si="28"/>
        <v>15</v>
      </c>
      <c r="U52" s="27">
        <f t="shared" si="28"/>
        <v>16</v>
      </c>
      <c r="V52" s="27">
        <f t="shared" si="28"/>
        <v>17</v>
      </c>
      <c r="W52" s="27">
        <f t="shared" si="28"/>
        <v>18</v>
      </c>
      <c r="X52" s="27">
        <f t="shared" si="28"/>
        <v>19</v>
      </c>
      <c r="Y52" s="27">
        <f t="shared" si="28"/>
        <v>20</v>
      </c>
      <c r="Z52" s="27">
        <f t="shared" ref="Z52" si="29">Y52+1</f>
        <v>21</v>
      </c>
      <c r="AA52" s="27">
        <f t="shared" ref="AA52" si="30">Z52+1</f>
        <v>22</v>
      </c>
      <c r="AB52" s="27">
        <f t="shared" ref="AB52" si="31">AA52+1</f>
        <v>23</v>
      </c>
      <c r="AC52" s="27">
        <f t="shared" ref="AC52" si="32">AB52+1</f>
        <v>24</v>
      </c>
      <c r="AD52" s="25">
        <f t="shared" ref="AD52" si="33">AC52+1</f>
        <v>25</v>
      </c>
    </row>
    <row r="53" spans="1:30" s="1" customFormat="1">
      <c r="B53" s="276" t="s">
        <v>11</v>
      </c>
      <c r="C53" s="277"/>
      <c r="D53" s="278"/>
      <c r="E53" s="136">
        <f>-(D5)</f>
        <v>-100</v>
      </c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8"/>
    </row>
    <row r="54" spans="1:30" s="1" customFormat="1">
      <c r="B54" s="279" t="s">
        <v>16</v>
      </c>
      <c r="C54" s="280"/>
      <c r="D54" s="281"/>
      <c r="E54" s="139"/>
      <c r="F54" s="140">
        <f>IF($D$7=F52,$D$9,0)</f>
        <v>0</v>
      </c>
      <c r="G54" s="140">
        <f t="shared" ref="G54:N54" si="34">IF($D$7=G52,$D$9,0)</f>
        <v>0</v>
      </c>
      <c r="H54" s="140">
        <f t="shared" si="34"/>
        <v>0</v>
      </c>
      <c r="I54" s="140">
        <f t="shared" si="34"/>
        <v>0</v>
      </c>
      <c r="J54" s="140">
        <f t="shared" si="34"/>
        <v>0</v>
      </c>
      <c r="K54" s="140">
        <f t="shared" si="34"/>
        <v>0</v>
      </c>
      <c r="L54" s="140">
        <f t="shared" si="34"/>
        <v>0</v>
      </c>
      <c r="M54" s="140">
        <f t="shared" si="34"/>
        <v>0</v>
      </c>
      <c r="N54" s="140">
        <f t="shared" si="34"/>
        <v>0</v>
      </c>
      <c r="O54" s="140">
        <f t="shared" ref="O54:P54" si="35">IF($D$7=O52,$D$9,0)</f>
        <v>0</v>
      </c>
      <c r="P54" s="140">
        <f t="shared" si="35"/>
        <v>0</v>
      </c>
      <c r="Q54" s="140">
        <f t="shared" ref="Q54:Y54" si="36">IF($D$7=Q52,$D$9,0)</f>
        <v>0</v>
      </c>
      <c r="R54" s="140">
        <f t="shared" si="36"/>
        <v>0</v>
      </c>
      <c r="S54" s="140">
        <f t="shared" si="36"/>
        <v>0</v>
      </c>
      <c r="T54" s="140">
        <f t="shared" si="36"/>
        <v>0</v>
      </c>
      <c r="U54" s="140">
        <f t="shared" si="36"/>
        <v>0</v>
      </c>
      <c r="V54" s="140">
        <f t="shared" si="36"/>
        <v>0</v>
      </c>
      <c r="W54" s="140">
        <f t="shared" si="36"/>
        <v>0</v>
      </c>
      <c r="X54" s="140">
        <f t="shared" si="36"/>
        <v>0</v>
      </c>
      <c r="Y54" s="140">
        <f t="shared" si="36"/>
        <v>0</v>
      </c>
      <c r="Z54" s="140">
        <f t="shared" ref="Z54:AD54" si="37">IF($D$7=Z52,$D$9,0)</f>
        <v>0</v>
      </c>
      <c r="AA54" s="140">
        <f t="shared" si="37"/>
        <v>0</v>
      </c>
      <c r="AB54" s="140">
        <f t="shared" si="37"/>
        <v>0</v>
      </c>
      <c r="AC54" s="140">
        <f t="shared" si="37"/>
        <v>0</v>
      </c>
      <c r="AD54" s="141">
        <f t="shared" si="37"/>
        <v>0</v>
      </c>
    </row>
    <row r="55" spans="1:30" s="1" customFormat="1">
      <c r="B55" s="279" t="s">
        <v>13</v>
      </c>
      <c r="C55" s="280"/>
      <c r="D55" s="281"/>
      <c r="E55" s="142">
        <f>-D6</f>
        <v>0</v>
      </c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1"/>
    </row>
    <row r="56" spans="1:30" s="1" customFormat="1">
      <c r="B56" s="64"/>
      <c r="C56" s="65"/>
      <c r="D56" s="24" t="s">
        <v>35</v>
      </c>
      <c r="E56" s="142"/>
      <c r="F56" s="140">
        <f>F24</f>
        <v>20</v>
      </c>
      <c r="G56" s="140">
        <f t="shared" ref="G56:N56" si="38">G24</f>
        <v>20</v>
      </c>
      <c r="H56" s="140">
        <f t="shared" si="38"/>
        <v>20</v>
      </c>
      <c r="I56" s="140">
        <f t="shared" si="38"/>
        <v>20</v>
      </c>
      <c r="J56" s="140">
        <f t="shared" si="38"/>
        <v>20</v>
      </c>
      <c r="K56" s="140">
        <f t="shared" si="38"/>
        <v>20</v>
      </c>
      <c r="L56" s="140">
        <f t="shared" si="38"/>
        <v>20</v>
      </c>
      <c r="M56" s="140">
        <f t="shared" si="38"/>
        <v>20</v>
      </c>
      <c r="N56" s="140">
        <f t="shared" si="38"/>
        <v>20</v>
      </c>
      <c r="O56" s="140">
        <f t="shared" ref="O56:P56" si="39">O24</f>
        <v>20</v>
      </c>
      <c r="P56" s="140">
        <f t="shared" si="39"/>
        <v>0</v>
      </c>
      <c r="Q56" s="140">
        <f t="shared" ref="Q56:Y56" si="40">Q24</f>
        <v>0</v>
      </c>
      <c r="R56" s="140">
        <f t="shared" si="40"/>
        <v>0</v>
      </c>
      <c r="S56" s="140">
        <f t="shared" si="40"/>
        <v>0</v>
      </c>
      <c r="T56" s="140">
        <f t="shared" si="40"/>
        <v>0</v>
      </c>
      <c r="U56" s="140">
        <f t="shared" si="40"/>
        <v>0</v>
      </c>
      <c r="V56" s="140">
        <f t="shared" si="40"/>
        <v>0</v>
      </c>
      <c r="W56" s="140">
        <f t="shared" si="40"/>
        <v>0</v>
      </c>
      <c r="X56" s="140">
        <f t="shared" si="40"/>
        <v>0</v>
      </c>
      <c r="Y56" s="140">
        <f t="shared" si="40"/>
        <v>0</v>
      </c>
      <c r="Z56" s="140">
        <f t="shared" ref="Z56:AD56" si="41">Z24</f>
        <v>0</v>
      </c>
      <c r="AA56" s="140">
        <f t="shared" si="41"/>
        <v>0</v>
      </c>
      <c r="AB56" s="140">
        <f t="shared" si="41"/>
        <v>0</v>
      </c>
      <c r="AC56" s="140">
        <f t="shared" si="41"/>
        <v>0</v>
      </c>
      <c r="AD56" s="141">
        <f t="shared" si="41"/>
        <v>0</v>
      </c>
    </row>
    <row r="57" spans="1:30" s="1" customFormat="1">
      <c r="B57" s="279" t="s">
        <v>40</v>
      </c>
      <c r="C57" s="280"/>
      <c r="D57" s="281"/>
      <c r="E57" s="142">
        <f>-E55*$D$12</f>
        <v>0</v>
      </c>
      <c r="F57" s="140">
        <f t="shared" ref="F57:Y57" si="42">-F56*$D$12</f>
        <v>-5</v>
      </c>
      <c r="G57" s="140">
        <f t="shared" si="42"/>
        <v>-5</v>
      </c>
      <c r="H57" s="140">
        <f t="shared" si="42"/>
        <v>-5</v>
      </c>
      <c r="I57" s="140">
        <f t="shared" si="42"/>
        <v>-5</v>
      </c>
      <c r="J57" s="140">
        <f t="shared" si="42"/>
        <v>-5</v>
      </c>
      <c r="K57" s="140">
        <f t="shared" si="42"/>
        <v>-5</v>
      </c>
      <c r="L57" s="140">
        <f t="shared" si="42"/>
        <v>-5</v>
      </c>
      <c r="M57" s="140">
        <f t="shared" si="42"/>
        <v>-5</v>
      </c>
      <c r="N57" s="140">
        <f t="shared" si="42"/>
        <v>-5</v>
      </c>
      <c r="O57" s="140">
        <f t="shared" si="42"/>
        <v>-5</v>
      </c>
      <c r="P57" s="140">
        <f t="shared" si="42"/>
        <v>0</v>
      </c>
      <c r="Q57" s="140">
        <f t="shared" si="42"/>
        <v>0</v>
      </c>
      <c r="R57" s="140">
        <f t="shared" si="42"/>
        <v>0</v>
      </c>
      <c r="S57" s="140">
        <f t="shared" si="42"/>
        <v>0</v>
      </c>
      <c r="T57" s="140">
        <f t="shared" si="42"/>
        <v>0</v>
      </c>
      <c r="U57" s="140">
        <f t="shared" si="42"/>
        <v>0</v>
      </c>
      <c r="V57" s="140">
        <f t="shared" si="42"/>
        <v>0</v>
      </c>
      <c r="W57" s="140">
        <f t="shared" si="42"/>
        <v>0</v>
      </c>
      <c r="X57" s="140">
        <f t="shared" si="42"/>
        <v>0</v>
      </c>
      <c r="Y57" s="140">
        <f t="shared" si="42"/>
        <v>0</v>
      </c>
      <c r="Z57" s="140">
        <f t="shared" ref="Z57:AD57" si="43">-Z56*$D$12</f>
        <v>0</v>
      </c>
      <c r="AA57" s="140">
        <f t="shared" si="43"/>
        <v>0</v>
      </c>
      <c r="AB57" s="140">
        <f t="shared" si="43"/>
        <v>0</v>
      </c>
      <c r="AC57" s="140">
        <f t="shared" si="43"/>
        <v>0</v>
      </c>
      <c r="AD57" s="141">
        <f t="shared" si="43"/>
        <v>0</v>
      </c>
    </row>
    <row r="58" spans="1:30" s="1" customFormat="1">
      <c r="B58" s="279" t="s">
        <v>32</v>
      </c>
      <c r="C58" s="280"/>
      <c r="D58" s="281" t="s">
        <v>55</v>
      </c>
      <c r="E58" s="69">
        <f>IF($D$11="",0,$D$11*$D$5*$D$12)</f>
        <v>0</v>
      </c>
      <c r="F58" s="140"/>
      <c r="G58" s="140"/>
      <c r="H58" s="140"/>
      <c r="I58" s="140"/>
      <c r="J58" s="140"/>
      <c r="K58" s="140"/>
      <c r="L58" s="140"/>
      <c r="M58" s="140"/>
      <c r="N58" s="140"/>
      <c r="O58" s="140"/>
      <c r="P58" s="140"/>
      <c r="Q58" s="140"/>
      <c r="R58" s="140"/>
      <c r="S58" s="140"/>
      <c r="T58" s="140"/>
      <c r="U58" s="140"/>
      <c r="V58" s="140"/>
      <c r="W58" s="140"/>
      <c r="X58" s="140"/>
      <c r="Y58" s="140"/>
      <c r="Z58" s="140"/>
      <c r="AA58" s="140"/>
      <c r="AB58" s="140"/>
      <c r="AC58" s="140"/>
      <c r="AD58" s="141"/>
    </row>
    <row r="59" spans="1:30" s="1" customFormat="1">
      <c r="B59" s="279" t="s">
        <v>41</v>
      </c>
      <c r="C59" s="280"/>
      <c r="D59" s="281"/>
      <c r="E59" s="143"/>
      <c r="F59" s="144">
        <f t="shared" ref="F59:AD59" si="44">IF($D$10+1-F$52&gt;0,($D$5/$D$10),0)</f>
        <v>20</v>
      </c>
      <c r="G59" s="144">
        <f t="shared" si="44"/>
        <v>20</v>
      </c>
      <c r="H59" s="144">
        <f t="shared" si="44"/>
        <v>20</v>
      </c>
      <c r="I59" s="144">
        <f t="shared" si="44"/>
        <v>20</v>
      </c>
      <c r="J59" s="144">
        <f t="shared" si="44"/>
        <v>20</v>
      </c>
      <c r="K59" s="144">
        <f t="shared" si="44"/>
        <v>0</v>
      </c>
      <c r="L59" s="144">
        <f t="shared" si="44"/>
        <v>0</v>
      </c>
      <c r="M59" s="144">
        <f t="shared" si="44"/>
        <v>0</v>
      </c>
      <c r="N59" s="144">
        <f t="shared" si="44"/>
        <v>0</v>
      </c>
      <c r="O59" s="144">
        <f t="shared" si="44"/>
        <v>0</v>
      </c>
      <c r="P59" s="144">
        <f t="shared" si="44"/>
        <v>0</v>
      </c>
      <c r="Q59" s="144">
        <f t="shared" si="44"/>
        <v>0</v>
      </c>
      <c r="R59" s="144">
        <f t="shared" si="44"/>
        <v>0</v>
      </c>
      <c r="S59" s="144">
        <f t="shared" si="44"/>
        <v>0</v>
      </c>
      <c r="T59" s="144">
        <f t="shared" si="44"/>
        <v>0</v>
      </c>
      <c r="U59" s="144">
        <f t="shared" si="44"/>
        <v>0</v>
      </c>
      <c r="V59" s="144">
        <f t="shared" si="44"/>
        <v>0</v>
      </c>
      <c r="W59" s="144">
        <f t="shared" si="44"/>
        <v>0</v>
      </c>
      <c r="X59" s="144">
        <f t="shared" si="44"/>
        <v>0</v>
      </c>
      <c r="Y59" s="144">
        <f t="shared" si="44"/>
        <v>0</v>
      </c>
      <c r="Z59" s="144">
        <f t="shared" si="44"/>
        <v>0</v>
      </c>
      <c r="AA59" s="144">
        <f t="shared" si="44"/>
        <v>0</v>
      </c>
      <c r="AB59" s="144">
        <f t="shared" si="44"/>
        <v>0</v>
      </c>
      <c r="AC59" s="144">
        <f t="shared" si="44"/>
        <v>0</v>
      </c>
      <c r="AD59" s="145">
        <f t="shared" si="44"/>
        <v>0</v>
      </c>
    </row>
    <row r="60" spans="1:30" s="1" customFormat="1">
      <c r="B60" s="302" t="s">
        <v>42</v>
      </c>
      <c r="C60" s="303"/>
      <c r="D60" s="304"/>
      <c r="E60" s="146"/>
      <c r="F60" s="147">
        <f t="shared" ref="F60:Y60" si="45">IF(F$59&gt;0,F59*$D$12,0)</f>
        <v>5</v>
      </c>
      <c r="G60" s="147">
        <f t="shared" si="45"/>
        <v>5</v>
      </c>
      <c r="H60" s="147">
        <f t="shared" si="45"/>
        <v>5</v>
      </c>
      <c r="I60" s="147">
        <f t="shared" si="45"/>
        <v>5</v>
      </c>
      <c r="J60" s="147">
        <f t="shared" si="45"/>
        <v>5</v>
      </c>
      <c r="K60" s="147">
        <f t="shared" si="45"/>
        <v>0</v>
      </c>
      <c r="L60" s="147">
        <f t="shared" si="45"/>
        <v>0</v>
      </c>
      <c r="M60" s="147">
        <f t="shared" si="45"/>
        <v>0</v>
      </c>
      <c r="N60" s="147">
        <f t="shared" si="45"/>
        <v>0</v>
      </c>
      <c r="O60" s="147">
        <f t="shared" si="45"/>
        <v>0</v>
      </c>
      <c r="P60" s="147">
        <f t="shared" si="45"/>
        <v>0</v>
      </c>
      <c r="Q60" s="147">
        <f t="shared" si="45"/>
        <v>0</v>
      </c>
      <c r="R60" s="147">
        <f t="shared" si="45"/>
        <v>0</v>
      </c>
      <c r="S60" s="147">
        <f t="shared" si="45"/>
        <v>0</v>
      </c>
      <c r="T60" s="147">
        <f t="shared" si="45"/>
        <v>0</v>
      </c>
      <c r="U60" s="147">
        <f t="shared" si="45"/>
        <v>0</v>
      </c>
      <c r="V60" s="147">
        <f t="shared" si="45"/>
        <v>0</v>
      </c>
      <c r="W60" s="147">
        <f t="shared" si="45"/>
        <v>0</v>
      </c>
      <c r="X60" s="147">
        <f t="shared" si="45"/>
        <v>0</v>
      </c>
      <c r="Y60" s="147">
        <f t="shared" si="45"/>
        <v>0</v>
      </c>
      <c r="Z60" s="147">
        <f t="shared" ref="Z60:AD60" si="46">IF(Z$59&gt;0,Z59*$D$12,0)</f>
        <v>0</v>
      </c>
      <c r="AA60" s="147">
        <f t="shared" si="46"/>
        <v>0</v>
      </c>
      <c r="AB60" s="147">
        <f t="shared" si="46"/>
        <v>0</v>
      </c>
      <c r="AC60" s="147">
        <f t="shared" si="46"/>
        <v>0</v>
      </c>
      <c r="AD60" s="148">
        <f t="shared" si="46"/>
        <v>0</v>
      </c>
    </row>
    <row r="61" spans="1:30" s="1" customFormat="1">
      <c r="B61" s="292" t="s">
        <v>36</v>
      </c>
      <c r="C61" s="293"/>
      <c r="D61" s="294"/>
      <c r="E61" s="149">
        <f>SUM(E53:E60)</f>
        <v>-100</v>
      </c>
      <c r="F61" s="150">
        <f>SUM(F53:F60)-F59</f>
        <v>20</v>
      </c>
      <c r="G61" s="150">
        <f t="shared" ref="G61:N61" si="47">SUM(G53:G60)-G59</f>
        <v>20</v>
      </c>
      <c r="H61" s="150">
        <f t="shared" si="47"/>
        <v>20</v>
      </c>
      <c r="I61" s="150">
        <f t="shared" si="47"/>
        <v>20</v>
      </c>
      <c r="J61" s="150">
        <f t="shared" si="47"/>
        <v>20</v>
      </c>
      <c r="K61" s="150">
        <f t="shared" si="47"/>
        <v>15</v>
      </c>
      <c r="L61" s="150">
        <f t="shared" si="47"/>
        <v>15</v>
      </c>
      <c r="M61" s="150">
        <f t="shared" si="47"/>
        <v>15</v>
      </c>
      <c r="N61" s="150">
        <f t="shared" si="47"/>
        <v>15</v>
      </c>
      <c r="O61" s="150">
        <f t="shared" ref="O61:P61" si="48">SUM(O53:O60)-O59</f>
        <v>15</v>
      </c>
      <c r="P61" s="150">
        <f t="shared" si="48"/>
        <v>0</v>
      </c>
      <c r="Q61" s="150">
        <f t="shared" ref="Q61:Y61" si="49">SUM(Q53:Q60)-Q59</f>
        <v>0</v>
      </c>
      <c r="R61" s="150">
        <f t="shared" si="49"/>
        <v>0</v>
      </c>
      <c r="S61" s="150">
        <f t="shared" si="49"/>
        <v>0</v>
      </c>
      <c r="T61" s="150">
        <f t="shared" si="49"/>
        <v>0</v>
      </c>
      <c r="U61" s="150">
        <f t="shared" si="49"/>
        <v>0</v>
      </c>
      <c r="V61" s="150">
        <f t="shared" si="49"/>
        <v>0</v>
      </c>
      <c r="W61" s="150">
        <f t="shared" si="49"/>
        <v>0</v>
      </c>
      <c r="X61" s="150">
        <f t="shared" si="49"/>
        <v>0</v>
      </c>
      <c r="Y61" s="150">
        <f t="shared" si="49"/>
        <v>0</v>
      </c>
      <c r="Z61" s="150">
        <f t="shared" ref="Z61:AD61" si="50">SUM(Z53:Z60)-Z59</f>
        <v>0</v>
      </c>
      <c r="AA61" s="150">
        <f t="shared" si="50"/>
        <v>0</v>
      </c>
      <c r="AB61" s="150">
        <f t="shared" si="50"/>
        <v>0</v>
      </c>
      <c r="AC61" s="150">
        <f t="shared" si="50"/>
        <v>0</v>
      </c>
      <c r="AD61" s="151">
        <f t="shared" si="50"/>
        <v>0</v>
      </c>
    </row>
    <row r="62" spans="1:30" s="1" customFormat="1">
      <c r="A62" s="60"/>
      <c r="B62" s="60"/>
      <c r="C62" s="60"/>
      <c r="D62" s="99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</row>
    <row r="63" spans="1:30" s="60" customFormat="1">
      <c r="A63" s="106" t="s">
        <v>56</v>
      </c>
      <c r="B63" s="107"/>
      <c r="C63" s="107"/>
      <c r="D63" s="108"/>
      <c r="E63" s="109"/>
    </row>
    <row r="64" spans="1:30" s="1" customFormat="1" ht="13.5" customHeight="1">
      <c r="A64" s="110" t="s">
        <v>48</v>
      </c>
      <c r="B64" s="111" t="s">
        <v>57</v>
      </c>
      <c r="C64" s="112">
        <f>IF(D7=0,"",IF(OR(IRR(E61:AD61)&lt;0.129,IRR(E61:AD61)&gt;0.131),IRR(E61:AD61),IF(IRR(E61:AD61)&lt;0.13,0.129,0.131)))</f>
        <v>0.1272525066888337</v>
      </c>
      <c r="D64" s="113"/>
      <c r="E64" s="114"/>
      <c r="F64" s="153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  <c r="AD64" s="115"/>
    </row>
    <row r="65" spans="1:30" s="1" customFormat="1">
      <c r="C65" s="3"/>
      <c r="D65" s="2"/>
    </row>
    <row r="66" spans="1:30" s="1" customFormat="1">
      <c r="A66" s="83" t="s">
        <v>50</v>
      </c>
    </row>
    <row r="67" spans="1:30" s="1" customFormat="1">
      <c r="A67" s="116"/>
    </row>
    <row r="68" spans="1:30" s="1" customFormat="1" ht="20.100000000000001" customHeight="1">
      <c r="C68" s="309" t="s">
        <v>51</v>
      </c>
      <c r="D68" s="311" t="s">
        <v>52</v>
      </c>
      <c r="E68" s="282" t="s">
        <v>22</v>
      </c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3"/>
      <c r="Q68" s="283"/>
      <c r="R68" s="283"/>
      <c r="S68" s="283"/>
      <c r="T68" s="283"/>
      <c r="U68" s="283"/>
      <c r="V68" s="283"/>
      <c r="W68" s="283"/>
      <c r="X68" s="283"/>
      <c r="Y68" s="283"/>
      <c r="Z68" s="283"/>
      <c r="AA68" s="283"/>
      <c r="AB68" s="283"/>
      <c r="AC68" s="283"/>
      <c r="AD68" s="284"/>
    </row>
    <row r="69" spans="1:30" s="1" customFormat="1">
      <c r="C69" s="309"/>
      <c r="D69" s="311"/>
      <c r="E69" s="26">
        <v>0</v>
      </c>
      <c r="F69" s="27">
        <f>E69+1</f>
        <v>1</v>
      </c>
      <c r="G69" s="27">
        <f t="shared" ref="G69:Y69" si="51">F69+1</f>
        <v>2</v>
      </c>
      <c r="H69" s="27">
        <f t="shared" si="51"/>
        <v>3</v>
      </c>
      <c r="I69" s="27">
        <f t="shared" si="51"/>
        <v>4</v>
      </c>
      <c r="J69" s="27">
        <f t="shared" si="51"/>
        <v>5</v>
      </c>
      <c r="K69" s="27">
        <f t="shared" si="51"/>
        <v>6</v>
      </c>
      <c r="L69" s="27">
        <f t="shared" si="51"/>
        <v>7</v>
      </c>
      <c r="M69" s="27">
        <f t="shared" si="51"/>
        <v>8</v>
      </c>
      <c r="N69" s="27">
        <f t="shared" si="51"/>
        <v>9</v>
      </c>
      <c r="O69" s="27">
        <f t="shared" si="51"/>
        <v>10</v>
      </c>
      <c r="P69" s="27">
        <f t="shared" si="51"/>
        <v>11</v>
      </c>
      <c r="Q69" s="27">
        <f t="shared" si="51"/>
        <v>12</v>
      </c>
      <c r="R69" s="27">
        <f t="shared" si="51"/>
        <v>13</v>
      </c>
      <c r="S69" s="27">
        <f t="shared" si="51"/>
        <v>14</v>
      </c>
      <c r="T69" s="27">
        <f t="shared" si="51"/>
        <v>15</v>
      </c>
      <c r="U69" s="27">
        <f t="shared" si="51"/>
        <v>16</v>
      </c>
      <c r="V69" s="27">
        <f t="shared" si="51"/>
        <v>17</v>
      </c>
      <c r="W69" s="27">
        <f t="shared" si="51"/>
        <v>18</v>
      </c>
      <c r="X69" s="27">
        <f t="shared" si="51"/>
        <v>19</v>
      </c>
      <c r="Y69" s="27">
        <f t="shared" si="51"/>
        <v>20</v>
      </c>
      <c r="Z69" s="27">
        <f t="shared" ref="Z69" si="52">Y69+1</f>
        <v>21</v>
      </c>
      <c r="AA69" s="27">
        <f t="shared" ref="AA69" si="53">Z69+1</f>
        <v>22</v>
      </c>
      <c r="AB69" s="27">
        <f t="shared" ref="AB69" si="54">AA69+1</f>
        <v>23</v>
      </c>
      <c r="AC69" s="27">
        <f t="shared" ref="AC69" si="55">AB69+1</f>
        <v>24</v>
      </c>
      <c r="AD69" s="25">
        <f t="shared" ref="AD69" si="56">AC69+1</f>
        <v>25</v>
      </c>
    </row>
    <row r="70" spans="1:30" s="1" customFormat="1">
      <c r="C70" s="84">
        <v>0</v>
      </c>
      <c r="D70" s="85">
        <f>SUM(E70:AD70)</f>
        <v>75</v>
      </c>
      <c r="E70" s="117">
        <f t="shared" ref="E70:T80" si="57">(SUM(E$53:E$60)-E$59)/POWER(1+$C70/100,E$52)</f>
        <v>-100</v>
      </c>
      <c r="F70" s="118">
        <f t="shared" si="57"/>
        <v>20</v>
      </c>
      <c r="G70" s="118">
        <f t="shared" si="57"/>
        <v>20</v>
      </c>
      <c r="H70" s="118">
        <f t="shared" si="57"/>
        <v>20</v>
      </c>
      <c r="I70" s="118">
        <f t="shared" si="57"/>
        <v>20</v>
      </c>
      <c r="J70" s="118">
        <f t="shared" si="57"/>
        <v>20</v>
      </c>
      <c r="K70" s="118">
        <f t="shared" si="57"/>
        <v>15</v>
      </c>
      <c r="L70" s="118">
        <f t="shared" si="57"/>
        <v>15</v>
      </c>
      <c r="M70" s="118">
        <f t="shared" si="57"/>
        <v>15</v>
      </c>
      <c r="N70" s="118">
        <f t="shared" si="57"/>
        <v>15</v>
      </c>
      <c r="O70" s="118">
        <f t="shared" si="57"/>
        <v>15</v>
      </c>
      <c r="P70" s="118">
        <f t="shared" si="57"/>
        <v>0</v>
      </c>
      <c r="Q70" s="118">
        <f t="shared" si="57"/>
        <v>0</v>
      </c>
      <c r="R70" s="118">
        <f t="shared" si="57"/>
        <v>0</v>
      </c>
      <c r="S70" s="118">
        <f t="shared" si="57"/>
        <v>0</v>
      </c>
      <c r="T70" s="118">
        <f t="shared" si="57"/>
        <v>0</v>
      </c>
      <c r="U70" s="118">
        <f t="shared" ref="U70:AD80" si="58">(SUM(U$53:U$60)-U$59)/POWER(1+$C70/100,U$52)</f>
        <v>0</v>
      </c>
      <c r="V70" s="118">
        <f t="shared" si="58"/>
        <v>0</v>
      </c>
      <c r="W70" s="118">
        <f t="shared" si="58"/>
        <v>0</v>
      </c>
      <c r="X70" s="118">
        <f t="shared" si="58"/>
        <v>0</v>
      </c>
      <c r="Y70" s="118">
        <f t="shared" si="58"/>
        <v>0</v>
      </c>
      <c r="Z70" s="118">
        <f t="shared" si="58"/>
        <v>0</v>
      </c>
      <c r="AA70" s="118">
        <f t="shared" si="58"/>
        <v>0</v>
      </c>
      <c r="AB70" s="118">
        <f t="shared" si="58"/>
        <v>0</v>
      </c>
      <c r="AC70" s="118">
        <f t="shared" si="58"/>
        <v>0</v>
      </c>
      <c r="AD70" s="119">
        <f t="shared" si="58"/>
        <v>0</v>
      </c>
    </row>
    <row r="71" spans="1:30" s="1" customFormat="1">
      <c r="C71" s="87">
        <f>C70+5</f>
        <v>5</v>
      </c>
      <c r="D71" s="88">
        <f>SUM(E71:AD71)</f>
        <v>37.473407290926275</v>
      </c>
      <c r="E71" s="120">
        <f t="shared" si="57"/>
        <v>-100</v>
      </c>
      <c r="F71" s="89">
        <f t="shared" si="57"/>
        <v>19.047619047619047</v>
      </c>
      <c r="G71" s="89">
        <f t="shared" si="57"/>
        <v>18.140589569160998</v>
      </c>
      <c r="H71" s="89">
        <f t="shared" si="57"/>
        <v>17.276751970629519</v>
      </c>
      <c r="I71" s="89">
        <f t="shared" si="57"/>
        <v>16.454049495837641</v>
      </c>
      <c r="J71" s="89">
        <f t="shared" si="57"/>
        <v>15.670523329369178</v>
      </c>
      <c r="K71" s="89">
        <f t="shared" si="57"/>
        <v>11.193230949549415</v>
      </c>
      <c r="L71" s="89">
        <f t="shared" si="57"/>
        <v>10.660219951951822</v>
      </c>
      <c r="M71" s="89">
        <f t="shared" si="57"/>
        <v>10.152590430430308</v>
      </c>
      <c r="N71" s="89">
        <f t="shared" si="57"/>
        <v>9.6691337432669595</v>
      </c>
      <c r="O71" s="89">
        <f t="shared" si="57"/>
        <v>9.208698803111389</v>
      </c>
      <c r="P71" s="89">
        <f t="shared" si="57"/>
        <v>0</v>
      </c>
      <c r="Q71" s="89">
        <f t="shared" si="57"/>
        <v>0</v>
      </c>
      <c r="R71" s="89">
        <f t="shared" si="57"/>
        <v>0</v>
      </c>
      <c r="S71" s="89">
        <f t="shared" si="57"/>
        <v>0</v>
      </c>
      <c r="T71" s="89">
        <f t="shared" si="57"/>
        <v>0</v>
      </c>
      <c r="U71" s="89">
        <f t="shared" si="58"/>
        <v>0</v>
      </c>
      <c r="V71" s="89">
        <f t="shared" si="58"/>
        <v>0</v>
      </c>
      <c r="W71" s="89">
        <f t="shared" si="58"/>
        <v>0</v>
      </c>
      <c r="X71" s="89">
        <f t="shared" si="58"/>
        <v>0</v>
      </c>
      <c r="Y71" s="89">
        <f t="shared" si="58"/>
        <v>0</v>
      </c>
      <c r="Z71" s="89">
        <f t="shared" si="58"/>
        <v>0</v>
      </c>
      <c r="AA71" s="89">
        <f t="shared" si="58"/>
        <v>0</v>
      </c>
      <c r="AB71" s="89">
        <f t="shared" si="58"/>
        <v>0</v>
      </c>
      <c r="AC71" s="89">
        <f t="shared" si="58"/>
        <v>0</v>
      </c>
      <c r="AD71" s="121">
        <f t="shared" si="58"/>
        <v>0</v>
      </c>
    </row>
    <row r="72" spans="1:30" s="1" customFormat="1">
      <c r="C72" s="87">
        <f t="shared" ref="C72:C80" si="59">C71+5</f>
        <v>10</v>
      </c>
      <c r="D72" s="88">
        <f t="shared" ref="D72:D80" si="60">SUM(E72:AD72)</f>
        <v>11.12244043261245</v>
      </c>
      <c r="E72" s="120">
        <f t="shared" si="57"/>
        <v>-100</v>
      </c>
      <c r="F72" s="89">
        <f t="shared" si="57"/>
        <v>18.18181818181818</v>
      </c>
      <c r="G72" s="89">
        <f t="shared" si="57"/>
        <v>16.528925619834709</v>
      </c>
      <c r="H72" s="89">
        <f t="shared" si="57"/>
        <v>15.02629601803155</v>
      </c>
      <c r="I72" s="89">
        <f t="shared" si="57"/>
        <v>13.66026910730141</v>
      </c>
      <c r="J72" s="89">
        <f t="shared" si="57"/>
        <v>12.418426461183099</v>
      </c>
      <c r="K72" s="89">
        <f t="shared" si="57"/>
        <v>8.4671089508066579</v>
      </c>
      <c r="L72" s="89">
        <f t="shared" si="57"/>
        <v>7.6973717734605964</v>
      </c>
      <c r="M72" s="89">
        <f t="shared" si="57"/>
        <v>6.9976107031459973</v>
      </c>
      <c r="N72" s="89">
        <f t="shared" si="57"/>
        <v>6.3614642755872701</v>
      </c>
      <c r="O72" s="89">
        <f t="shared" si="57"/>
        <v>5.7831493414429724</v>
      </c>
      <c r="P72" s="89">
        <f t="shared" si="57"/>
        <v>0</v>
      </c>
      <c r="Q72" s="89">
        <f t="shared" si="57"/>
        <v>0</v>
      </c>
      <c r="R72" s="89">
        <f t="shared" si="57"/>
        <v>0</v>
      </c>
      <c r="S72" s="89">
        <f t="shared" si="57"/>
        <v>0</v>
      </c>
      <c r="T72" s="89">
        <f t="shared" si="57"/>
        <v>0</v>
      </c>
      <c r="U72" s="89">
        <f t="shared" si="58"/>
        <v>0</v>
      </c>
      <c r="V72" s="89">
        <f t="shared" si="58"/>
        <v>0</v>
      </c>
      <c r="W72" s="89">
        <f t="shared" si="58"/>
        <v>0</v>
      </c>
      <c r="X72" s="89">
        <f t="shared" si="58"/>
        <v>0</v>
      </c>
      <c r="Y72" s="89">
        <f t="shared" si="58"/>
        <v>0</v>
      </c>
      <c r="Z72" s="89">
        <f t="shared" si="58"/>
        <v>0</v>
      </c>
      <c r="AA72" s="89">
        <f t="shared" si="58"/>
        <v>0</v>
      </c>
      <c r="AB72" s="89">
        <f t="shared" si="58"/>
        <v>0</v>
      </c>
      <c r="AC72" s="89">
        <f t="shared" si="58"/>
        <v>0</v>
      </c>
      <c r="AD72" s="121">
        <f t="shared" si="58"/>
        <v>0</v>
      </c>
    </row>
    <row r="73" spans="1:30" s="1" customFormat="1">
      <c r="C73" s="87">
        <f>C72+5</f>
        <v>15</v>
      </c>
      <c r="D73" s="88">
        <f t="shared" si="60"/>
        <v>-7.9576951221295253</v>
      </c>
      <c r="E73" s="120">
        <f t="shared" si="57"/>
        <v>-100</v>
      </c>
      <c r="F73" s="89">
        <f t="shared" si="57"/>
        <v>17.39130434782609</v>
      </c>
      <c r="G73" s="89">
        <f t="shared" si="57"/>
        <v>15.12287334593573</v>
      </c>
      <c r="H73" s="89">
        <f t="shared" si="57"/>
        <v>13.150324648639767</v>
      </c>
      <c r="I73" s="89">
        <f t="shared" si="57"/>
        <v>11.435064911860668</v>
      </c>
      <c r="J73" s="89">
        <f t="shared" si="57"/>
        <v>9.9435347059657975</v>
      </c>
      <c r="K73" s="89">
        <f t="shared" si="57"/>
        <v>6.4849139386733468</v>
      </c>
      <c r="L73" s="89">
        <f t="shared" si="57"/>
        <v>5.6390555988463902</v>
      </c>
      <c r="M73" s="89">
        <f t="shared" si="57"/>
        <v>4.9035266076925135</v>
      </c>
      <c r="N73" s="89">
        <f t="shared" si="57"/>
        <v>4.2639361806021858</v>
      </c>
      <c r="O73" s="89">
        <f t="shared" si="57"/>
        <v>3.707770591827988</v>
      </c>
      <c r="P73" s="89">
        <f t="shared" si="57"/>
        <v>0</v>
      </c>
      <c r="Q73" s="89">
        <f t="shared" si="57"/>
        <v>0</v>
      </c>
      <c r="R73" s="89">
        <f t="shared" si="57"/>
        <v>0</v>
      </c>
      <c r="S73" s="89">
        <f t="shared" si="57"/>
        <v>0</v>
      </c>
      <c r="T73" s="89">
        <f t="shared" si="57"/>
        <v>0</v>
      </c>
      <c r="U73" s="89">
        <f t="shared" si="58"/>
        <v>0</v>
      </c>
      <c r="V73" s="89">
        <f t="shared" si="58"/>
        <v>0</v>
      </c>
      <c r="W73" s="89">
        <f t="shared" si="58"/>
        <v>0</v>
      </c>
      <c r="X73" s="89">
        <f t="shared" si="58"/>
        <v>0</v>
      </c>
      <c r="Y73" s="89">
        <f t="shared" si="58"/>
        <v>0</v>
      </c>
      <c r="Z73" s="89">
        <f t="shared" si="58"/>
        <v>0</v>
      </c>
      <c r="AA73" s="89">
        <f t="shared" si="58"/>
        <v>0</v>
      </c>
      <c r="AB73" s="89">
        <f t="shared" si="58"/>
        <v>0</v>
      </c>
      <c r="AC73" s="89">
        <f t="shared" si="58"/>
        <v>0</v>
      </c>
      <c r="AD73" s="121">
        <f t="shared" si="58"/>
        <v>0</v>
      </c>
    </row>
    <row r="74" spans="1:30" s="1" customFormat="1">
      <c r="C74" s="87">
        <f>C73+5</f>
        <v>20</v>
      </c>
      <c r="D74" s="88">
        <f t="shared" si="60"/>
        <v>-22.159858017149944</v>
      </c>
      <c r="E74" s="120">
        <f t="shared" si="57"/>
        <v>-100</v>
      </c>
      <c r="F74" s="89">
        <f t="shared" si="57"/>
        <v>16.666666666666668</v>
      </c>
      <c r="G74" s="89">
        <f t="shared" si="57"/>
        <v>13.888888888888889</v>
      </c>
      <c r="H74" s="89">
        <f t="shared" si="57"/>
        <v>11.574074074074074</v>
      </c>
      <c r="I74" s="89">
        <f t="shared" si="57"/>
        <v>9.6450617283950617</v>
      </c>
      <c r="J74" s="89">
        <f t="shared" si="57"/>
        <v>8.037551440329219</v>
      </c>
      <c r="K74" s="89">
        <f t="shared" si="57"/>
        <v>5.0234696502057616</v>
      </c>
      <c r="L74" s="89">
        <f t="shared" si="57"/>
        <v>4.1862247085048017</v>
      </c>
      <c r="M74" s="89">
        <f t="shared" si="57"/>
        <v>3.4885205904206682</v>
      </c>
      <c r="N74" s="89">
        <f t="shared" si="57"/>
        <v>2.9071004920172232</v>
      </c>
      <c r="O74" s="89">
        <f t="shared" si="57"/>
        <v>2.422583743347686</v>
      </c>
      <c r="P74" s="89">
        <f t="shared" si="57"/>
        <v>0</v>
      </c>
      <c r="Q74" s="89">
        <f t="shared" si="57"/>
        <v>0</v>
      </c>
      <c r="R74" s="89">
        <f t="shared" si="57"/>
        <v>0</v>
      </c>
      <c r="S74" s="89">
        <f t="shared" si="57"/>
        <v>0</v>
      </c>
      <c r="T74" s="89">
        <f t="shared" si="57"/>
        <v>0</v>
      </c>
      <c r="U74" s="89">
        <f t="shared" si="58"/>
        <v>0</v>
      </c>
      <c r="V74" s="89">
        <f t="shared" si="58"/>
        <v>0</v>
      </c>
      <c r="W74" s="89">
        <f t="shared" si="58"/>
        <v>0</v>
      </c>
      <c r="X74" s="89">
        <f t="shared" si="58"/>
        <v>0</v>
      </c>
      <c r="Y74" s="89">
        <f t="shared" si="58"/>
        <v>0</v>
      </c>
      <c r="Z74" s="89">
        <f t="shared" si="58"/>
        <v>0</v>
      </c>
      <c r="AA74" s="89">
        <f t="shared" si="58"/>
        <v>0</v>
      </c>
      <c r="AB74" s="89">
        <f t="shared" si="58"/>
        <v>0</v>
      </c>
      <c r="AC74" s="89">
        <f t="shared" si="58"/>
        <v>0</v>
      </c>
      <c r="AD74" s="121">
        <f t="shared" si="58"/>
        <v>0</v>
      </c>
    </row>
    <row r="75" spans="1:30" s="1" customFormat="1">
      <c r="C75" s="87">
        <f t="shared" si="59"/>
        <v>25</v>
      </c>
      <c r="D75" s="88">
        <f t="shared" si="60"/>
        <v>-32.996050943999997</v>
      </c>
      <c r="E75" s="120">
        <f t="shared" si="57"/>
        <v>-100</v>
      </c>
      <c r="F75" s="89">
        <f t="shared" si="57"/>
        <v>16</v>
      </c>
      <c r="G75" s="89">
        <f t="shared" si="57"/>
        <v>12.8</v>
      </c>
      <c r="H75" s="89">
        <f t="shared" si="57"/>
        <v>10.24</v>
      </c>
      <c r="I75" s="89">
        <f t="shared" si="57"/>
        <v>8.1920000000000002</v>
      </c>
      <c r="J75" s="89">
        <f t="shared" si="57"/>
        <v>6.5536000000000003</v>
      </c>
      <c r="K75" s="89">
        <f t="shared" si="57"/>
        <v>3.9321600000000001</v>
      </c>
      <c r="L75" s="89">
        <f t="shared" si="57"/>
        <v>3.1457280000000001</v>
      </c>
      <c r="M75" s="89">
        <f t="shared" si="57"/>
        <v>2.5165823999999999</v>
      </c>
      <c r="N75" s="89">
        <f t="shared" si="57"/>
        <v>2.0132659199999998</v>
      </c>
      <c r="O75" s="89">
        <f t="shared" si="57"/>
        <v>1.610612736</v>
      </c>
      <c r="P75" s="89">
        <f t="shared" si="57"/>
        <v>0</v>
      </c>
      <c r="Q75" s="89">
        <f t="shared" si="57"/>
        <v>0</v>
      </c>
      <c r="R75" s="89">
        <f t="shared" si="57"/>
        <v>0</v>
      </c>
      <c r="S75" s="89">
        <f t="shared" si="57"/>
        <v>0</v>
      </c>
      <c r="T75" s="89">
        <f t="shared" si="57"/>
        <v>0</v>
      </c>
      <c r="U75" s="89">
        <f t="shared" si="58"/>
        <v>0</v>
      </c>
      <c r="V75" s="89">
        <f t="shared" si="58"/>
        <v>0</v>
      </c>
      <c r="W75" s="89">
        <f t="shared" si="58"/>
        <v>0</v>
      </c>
      <c r="X75" s="89">
        <f t="shared" si="58"/>
        <v>0</v>
      </c>
      <c r="Y75" s="89">
        <f t="shared" si="58"/>
        <v>0</v>
      </c>
      <c r="Z75" s="89">
        <f t="shared" si="58"/>
        <v>0</v>
      </c>
      <c r="AA75" s="89">
        <f t="shared" si="58"/>
        <v>0</v>
      </c>
      <c r="AB75" s="89">
        <f t="shared" si="58"/>
        <v>0</v>
      </c>
      <c r="AC75" s="89">
        <f t="shared" si="58"/>
        <v>0</v>
      </c>
      <c r="AD75" s="121">
        <f t="shared" si="58"/>
        <v>0</v>
      </c>
    </row>
    <row r="76" spans="1:30" s="1" customFormat="1">
      <c r="C76" s="87">
        <f t="shared" si="59"/>
        <v>30</v>
      </c>
      <c r="D76" s="88">
        <f t="shared" si="60"/>
        <v>-41.449058753368703</v>
      </c>
      <c r="E76" s="120">
        <f t="shared" si="57"/>
        <v>-100</v>
      </c>
      <c r="F76" s="89">
        <f t="shared" si="57"/>
        <v>15.384615384615383</v>
      </c>
      <c r="G76" s="89">
        <f t="shared" si="57"/>
        <v>11.834319526627217</v>
      </c>
      <c r="H76" s="89">
        <f t="shared" si="57"/>
        <v>9.1033227127901668</v>
      </c>
      <c r="I76" s="89">
        <f t="shared" si="57"/>
        <v>7.0025559329155129</v>
      </c>
      <c r="J76" s="89">
        <f t="shared" si="57"/>
        <v>5.3865814868580868</v>
      </c>
      <c r="K76" s="89">
        <f t="shared" si="57"/>
        <v>3.1076431654950496</v>
      </c>
      <c r="L76" s="89">
        <f t="shared" si="57"/>
        <v>2.3904947426884995</v>
      </c>
      <c r="M76" s="89">
        <f t="shared" si="57"/>
        <v>1.8388421097603844</v>
      </c>
      <c r="N76" s="89">
        <f t="shared" si="57"/>
        <v>1.4144939305849111</v>
      </c>
      <c r="O76" s="89">
        <f t="shared" si="57"/>
        <v>1.0880722542960855</v>
      </c>
      <c r="P76" s="89">
        <f t="shared" si="57"/>
        <v>0</v>
      </c>
      <c r="Q76" s="89">
        <f t="shared" si="57"/>
        <v>0</v>
      </c>
      <c r="R76" s="89">
        <f t="shared" si="57"/>
        <v>0</v>
      </c>
      <c r="S76" s="89">
        <f t="shared" si="57"/>
        <v>0</v>
      </c>
      <c r="T76" s="89">
        <f t="shared" si="57"/>
        <v>0</v>
      </c>
      <c r="U76" s="89">
        <f t="shared" si="58"/>
        <v>0</v>
      </c>
      <c r="V76" s="89">
        <f t="shared" si="58"/>
        <v>0</v>
      </c>
      <c r="W76" s="89">
        <f t="shared" si="58"/>
        <v>0</v>
      </c>
      <c r="X76" s="89">
        <f t="shared" si="58"/>
        <v>0</v>
      </c>
      <c r="Y76" s="89">
        <f t="shared" si="58"/>
        <v>0</v>
      </c>
      <c r="Z76" s="89">
        <f t="shared" si="58"/>
        <v>0</v>
      </c>
      <c r="AA76" s="89">
        <f t="shared" si="58"/>
        <v>0</v>
      </c>
      <c r="AB76" s="89">
        <f t="shared" si="58"/>
        <v>0</v>
      </c>
      <c r="AC76" s="89">
        <f t="shared" si="58"/>
        <v>0</v>
      </c>
      <c r="AD76" s="121">
        <f t="shared" si="58"/>
        <v>0</v>
      </c>
    </row>
    <row r="77" spans="1:30" s="1" customFormat="1">
      <c r="C77" s="87">
        <f t="shared" si="59"/>
        <v>35</v>
      </c>
      <c r="D77" s="88">
        <f t="shared" si="60"/>
        <v>-48.174550974747333</v>
      </c>
      <c r="E77" s="120">
        <f t="shared" si="57"/>
        <v>-100</v>
      </c>
      <c r="F77" s="89">
        <f t="shared" si="57"/>
        <v>14.814814814814813</v>
      </c>
      <c r="G77" s="89">
        <f t="shared" si="57"/>
        <v>10.973936899862824</v>
      </c>
      <c r="H77" s="89">
        <f t="shared" si="57"/>
        <v>8.1288421480465356</v>
      </c>
      <c r="I77" s="89">
        <f t="shared" si="57"/>
        <v>6.021364554108545</v>
      </c>
      <c r="J77" s="89">
        <f t="shared" si="57"/>
        <v>4.4602700400804034</v>
      </c>
      <c r="K77" s="89">
        <f t="shared" si="57"/>
        <v>2.4779278000446685</v>
      </c>
      <c r="L77" s="89">
        <f t="shared" si="57"/>
        <v>1.8355020741071617</v>
      </c>
      <c r="M77" s="89">
        <f t="shared" si="57"/>
        <v>1.3596311660053049</v>
      </c>
      <c r="N77" s="89">
        <f t="shared" si="57"/>
        <v>1.0071341970409664</v>
      </c>
      <c r="O77" s="89">
        <f t="shared" si="57"/>
        <v>0.74602533114145653</v>
      </c>
      <c r="P77" s="89">
        <f t="shared" si="57"/>
        <v>0</v>
      </c>
      <c r="Q77" s="89">
        <f t="shared" si="57"/>
        <v>0</v>
      </c>
      <c r="R77" s="89">
        <f t="shared" si="57"/>
        <v>0</v>
      </c>
      <c r="S77" s="89">
        <f t="shared" si="57"/>
        <v>0</v>
      </c>
      <c r="T77" s="89">
        <f t="shared" si="57"/>
        <v>0</v>
      </c>
      <c r="U77" s="89">
        <f t="shared" si="58"/>
        <v>0</v>
      </c>
      <c r="V77" s="89">
        <f t="shared" si="58"/>
        <v>0</v>
      </c>
      <c r="W77" s="89">
        <f t="shared" si="58"/>
        <v>0</v>
      </c>
      <c r="X77" s="89">
        <f t="shared" si="58"/>
        <v>0</v>
      </c>
      <c r="Y77" s="89">
        <f t="shared" si="58"/>
        <v>0</v>
      </c>
      <c r="Z77" s="89">
        <f t="shared" si="58"/>
        <v>0</v>
      </c>
      <c r="AA77" s="89">
        <f t="shared" si="58"/>
        <v>0</v>
      </c>
      <c r="AB77" s="89">
        <f t="shared" si="58"/>
        <v>0</v>
      </c>
      <c r="AC77" s="89">
        <f t="shared" si="58"/>
        <v>0</v>
      </c>
      <c r="AD77" s="121">
        <f t="shared" si="58"/>
        <v>0</v>
      </c>
    </row>
    <row r="78" spans="1:30" s="1" customFormat="1">
      <c r="C78" s="87">
        <f t="shared" si="59"/>
        <v>40</v>
      </c>
      <c r="D78" s="88">
        <f t="shared" si="60"/>
        <v>-53.620615889783679</v>
      </c>
      <c r="E78" s="120">
        <f t="shared" si="57"/>
        <v>-100</v>
      </c>
      <c r="F78" s="89">
        <f t="shared" si="57"/>
        <v>14.285714285714286</v>
      </c>
      <c r="G78" s="89">
        <f t="shared" si="57"/>
        <v>10.204081632653063</v>
      </c>
      <c r="H78" s="89">
        <f t="shared" si="57"/>
        <v>7.2886297376093312</v>
      </c>
      <c r="I78" s="89">
        <f t="shared" si="57"/>
        <v>5.2061640982923798</v>
      </c>
      <c r="J78" s="89">
        <f t="shared" si="57"/>
        <v>3.7186886416374141</v>
      </c>
      <c r="K78" s="89">
        <f t="shared" si="57"/>
        <v>1.992154629448615</v>
      </c>
      <c r="L78" s="89">
        <f t="shared" si="57"/>
        <v>1.4229675924632967</v>
      </c>
      <c r="M78" s="89">
        <f t="shared" si="57"/>
        <v>1.016405423188069</v>
      </c>
      <c r="N78" s="89">
        <f t="shared" si="57"/>
        <v>0.72600387370576369</v>
      </c>
      <c r="O78" s="89">
        <f t="shared" si="57"/>
        <v>0.51857419550411687</v>
      </c>
      <c r="P78" s="89">
        <f t="shared" si="57"/>
        <v>0</v>
      </c>
      <c r="Q78" s="89">
        <f t="shared" si="57"/>
        <v>0</v>
      </c>
      <c r="R78" s="89">
        <f t="shared" si="57"/>
        <v>0</v>
      </c>
      <c r="S78" s="89">
        <f t="shared" si="57"/>
        <v>0</v>
      </c>
      <c r="T78" s="89">
        <f t="shared" ref="O78:T80" si="61">(SUM(T$53:T$60)-T$59)/POWER(1+$C78/100,T$52)</f>
        <v>0</v>
      </c>
      <c r="U78" s="89">
        <f t="shared" si="58"/>
        <v>0</v>
      </c>
      <c r="V78" s="89">
        <f t="shared" si="58"/>
        <v>0</v>
      </c>
      <c r="W78" s="89">
        <f t="shared" si="58"/>
        <v>0</v>
      </c>
      <c r="X78" s="89">
        <f t="shared" si="58"/>
        <v>0</v>
      </c>
      <c r="Y78" s="89">
        <f t="shared" si="58"/>
        <v>0</v>
      </c>
      <c r="Z78" s="89">
        <f t="shared" si="58"/>
        <v>0</v>
      </c>
      <c r="AA78" s="89">
        <f t="shared" si="58"/>
        <v>0</v>
      </c>
      <c r="AB78" s="89">
        <f t="shared" si="58"/>
        <v>0</v>
      </c>
      <c r="AC78" s="89">
        <f t="shared" si="58"/>
        <v>0</v>
      </c>
      <c r="AD78" s="121">
        <f t="shared" si="58"/>
        <v>0</v>
      </c>
    </row>
    <row r="79" spans="1:30" s="1" customFormat="1">
      <c r="C79" s="87">
        <f t="shared" si="59"/>
        <v>45</v>
      </c>
      <c r="D79" s="88">
        <f t="shared" si="60"/>
        <v>-58.100362362685395</v>
      </c>
      <c r="E79" s="120">
        <f t="shared" si="57"/>
        <v>-100</v>
      </c>
      <c r="F79" s="89">
        <f t="shared" si="57"/>
        <v>13.793103448275863</v>
      </c>
      <c r="G79" s="89">
        <f t="shared" si="57"/>
        <v>9.512485136741974</v>
      </c>
      <c r="H79" s="89">
        <f t="shared" si="57"/>
        <v>6.56033457706343</v>
      </c>
      <c r="I79" s="89">
        <f t="shared" si="57"/>
        <v>4.5243686738368485</v>
      </c>
      <c r="J79" s="89">
        <f t="shared" si="57"/>
        <v>3.1202542578185164</v>
      </c>
      <c r="K79" s="89">
        <f t="shared" si="57"/>
        <v>1.6139246161130256</v>
      </c>
      <c r="L79" s="89">
        <f t="shared" si="57"/>
        <v>1.1130514593882936</v>
      </c>
      <c r="M79" s="89">
        <f t="shared" si="57"/>
        <v>0.76762169612985764</v>
      </c>
      <c r="N79" s="89">
        <f t="shared" si="57"/>
        <v>0.52939427319300525</v>
      </c>
      <c r="O79" s="89">
        <f t="shared" si="61"/>
        <v>0.36509949875379677</v>
      </c>
      <c r="P79" s="89">
        <f t="shared" si="61"/>
        <v>0</v>
      </c>
      <c r="Q79" s="89">
        <f t="shared" si="61"/>
        <v>0</v>
      </c>
      <c r="R79" s="89">
        <f t="shared" si="61"/>
        <v>0</v>
      </c>
      <c r="S79" s="89">
        <f t="shared" si="61"/>
        <v>0</v>
      </c>
      <c r="T79" s="89">
        <f t="shared" si="61"/>
        <v>0</v>
      </c>
      <c r="U79" s="89">
        <f t="shared" si="58"/>
        <v>0</v>
      </c>
      <c r="V79" s="89">
        <f t="shared" si="58"/>
        <v>0</v>
      </c>
      <c r="W79" s="89">
        <f t="shared" si="58"/>
        <v>0</v>
      </c>
      <c r="X79" s="89">
        <f t="shared" si="58"/>
        <v>0</v>
      </c>
      <c r="Y79" s="89">
        <f t="shared" si="58"/>
        <v>0</v>
      </c>
      <c r="Z79" s="89">
        <f t="shared" si="58"/>
        <v>0</v>
      </c>
      <c r="AA79" s="89">
        <f t="shared" si="58"/>
        <v>0</v>
      </c>
      <c r="AB79" s="89">
        <f t="shared" si="58"/>
        <v>0</v>
      </c>
      <c r="AC79" s="89">
        <f t="shared" si="58"/>
        <v>0</v>
      </c>
      <c r="AD79" s="121">
        <f t="shared" si="58"/>
        <v>0</v>
      </c>
    </row>
    <row r="80" spans="1:30" s="1" customFormat="1">
      <c r="C80" s="90">
        <f t="shared" si="59"/>
        <v>50</v>
      </c>
      <c r="D80" s="91">
        <f t="shared" si="60"/>
        <v>-61.837118325458519</v>
      </c>
      <c r="E80" s="122">
        <f t="shared" si="57"/>
        <v>-100</v>
      </c>
      <c r="F80" s="92">
        <f t="shared" si="57"/>
        <v>13.333333333333334</v>
      </c>
      <c r="G80" s="92">
        <f t="shared" si="57"/>
        <v>8.8888888888888893</v>
      </c>
      <c r="H80" s="92">
        <f t="shared" si="57"/>
        <v>5.9259259259259256</v>
      </c>
      <c r="I80" s="92">
        <f t="shared" si="57"/>
        <v>3.9506172839506171</v>
      </c>
      <c r="J80" s="92">
        <f t="shared" si="57"/>
        <v>2.6337448559670782</v>
      </c>
      <c r="K80" s="92">
        <f t="shared" si="57"/>
        <v>1.3168724279835391</v>
      </c>
      <c r="L80" s="92">
        <f t="shared" si="57"/>
        <v>0.87791495198902603</v>
      </c>
      <c r="M80" s="92">
        <f t="shared" si="57"/>
        <v>0.58527663465935076</v>
      </c>
      <c r="N80" s="92">
        <f t="shared" si="57"/>
        <v>0.3901844231062338</v>
      </c>
      <c r="O80" s="92">
        <f t="shared" si="61"/>
        <v>0.2601229487374892</v>
      </c>
      <c r="P80" s="92">
        <f t="shared" si="61"/>
        <v>0</v>
      </c>
      <c r="Q80" s="92">
        <f t="shared" si="61"/>
        <v>0</v>
      </c>
      <c r="R80" s="92">
        <f t="shared" si="61"/>
        <v>0</v>
      </c>
      <c r="S80" s="92">
        <f t="shared" si="61"/>
        <v>0</v>
      </c>
      <c r="T80" s="92">
        <f t="shared" si="61"/>
        <v>0</v>
      </c>
      <c r="U80" s="92">
        <f t="shared" si="58"/>
        <v>0</v>
      </c>
      <c r="V80" s="92">
        <f t="shared" si="58"/>
        <v>0</v>
      </c>
      <c r="W80" s="92">
        <f t="shared" si="58"/>
        <v>0</v>
      </c>
      <c r="X80" s="92">
        <f t="shared" si="58"/>
        <v>0</v>
      </c>
      <c r="Y80" s="92">
        <f t="shared" si="58"/>
        <v>0</v>
      </c>
      <c r="Z80" s="92">
        <f t="shared" si="58"/>
        <v>0</v>
      </c>
      <c r="AA80" s="92">
        <f t="shared" si="58"/>
        <v>0</v>
      </c>
      <c r="AB80" s="92">
        <f t="shared" si="58"/>
        <v>0</v>
      </c>
      <c r="AC80" s="92">
        <f t="shared" si="58"/>
        <v>0</v>
      </c>
      <c r="AD80" s="123">
        <f t="shared" si="58"/>
        <v>0</v>
      </c>
    </row>
    <row r="81" spans="3:30" s="1" customFormat="1">
      <c r="D81" s="124"/>
      <c r="E81" s="125"/>
    </row>
    <row r="82" spans="3:30" s="1" customFormat="1">
      <c r="C82" s="295" t="s">
        <v>58</v>
      </c>
      <c r="D82" s="296"/>
      <c r="E82" s="296"/>
      <c r="F82" s="296"/>
      <c r="G82" s="296"/>
      <c r="H82" s="296"/>
      <c r="I82" s="296"/>
      <c r="J82" s="296"/>
      <c r="K82" s="296"/>
      <c r="L82" s="296"/>
      <c r="M82" s="296"/>
      <c r="N82" s="296"/>
      <c r="O82" s="296"/>
      <c r="P82" s="296"/>
      <c r="Q82" s="296"/>
      <c r="R82" s="296"/>
      <c r="S82" s="296"/>
      <c r="T82" s="296"/>
      <c r="U82" s="296"/>
      <c r="V82" s="296"/>
      <c r="W82" s="296"/>
      <c r="X82" s="296"/>
      <c r="Y82" s="296"/>
      <c r="Z82" s="296"/>
      <c r="AA82" s="296"/>
      <c r="AB82" s="296"/>
      <c r="AC82" s="296"/>
      <c r="AD82" s="297"/>
    </row>
    <row r="83" spans="3:30">
      <c r="D83" s="20"/>
      <c r="E83" s="126"/>
    </row>
    <row r="84" spans="3:30">
      <c r="D84" s="20"/>
      <c r="E84" s="126"/>
    </row>
    <row r="85" spans="3:30">
      <c r="D85" s="20"/>
      <c r="E85" s="126"/>
    </row>
    <row r="86" spans="3:30">
      <c r="E86" s="126"/>
    </row>
    <row r="87" spans="3:30">
      <c r="E87" s="126"/>
    </row>
    <row r="88" spans="3:30">
      <c r="E88" s="126"/>
    </row>
    <row r="89" spans="3:30">
      <c r="E89" s="126"/>
    </row>
    <row r="90" spans="3:30">
      <c r="E90" s="126"/>
    </row>
    <row r="91" spans="3:30">
      <c r="E91" s="126"/>
    </row>
    <row r="92" spans="3:30">
      <c r="E92" s="126"/>
    </row>
  </sheetData>
  <sheetProtection algorithmName="SHA-512" hashValue="ZtwGPUTQxY6L43Mx36z3mZ0PLZeq4kqVoB53tIRTgFyhmFX2ej5VAvqk43y/XNPtTiiGh27zmMvAJuCo4zAijA==" saltValue="ZWE48BJXlX1m8wgurWHiWg==" spinCount="100000" sheet="1" objects="1" scenarios="1"/>
  <mergeCells count="30">
    <mergeCell ref="C82:AD82"/>
    <mergeCell ref="E19:AD19"/>
    <mergeCell ref="E32:AD32"/>
    <mergeCell ref="E51:AD51"/>
    <mergeCell ref="E68:AD68"/>
    <mergeCell ref="B53:D53"/>
    <mergeCell ref="B55:D55"/>
    <mergeCell ref="B57:D57"/>
    <mergeCell ref="B59:D59"/>
    <mergeCell ref="B54:D54"/>
    <mergeCell ref="B58:D58"/>
    <mergeCell ref="C68:C69"/>
    <mergeCell ref="D68:D69"/>
    <mergeCell ref="B60:D60"/>
    <mergeCell ref="B61:D61"/>
    <mergeCell ref="A17:AD17"/>
    <mergeCell ref="A49:AD49"/>
    <mergeCell ref="C46:AD46"/>
    <mergeCell ref="A1:T1"/>
    <mergeCell ref="A27:D27"/>
    <mergeCell ref="A4:E4"/>
    <mergeCell ref="B22:D22"/>
    <mergeCell ref="A3:E3"/>
    <mergeCell ref="H3:N3"/>
    <mergeCell ref="B21:D21"/>
    <mergeCell ref="B23:D23"/>
    <mergeCell ref="B24:D24"/>
    <mergeCell ref="B25:D25"/>
    <mergeCell ref="C32:C33"/>
    <mergeCell ref="D32:D33"/>
  </mergeCells>
  <phoneticPr fontId="0" type="noConversion"/>
  <conditionalFormatting sqref="D12">
    <cfRule type="cellIs" dxfId="4" priority="1" operator="notEqual">
      <formula>0.25</formula>
    </cfRule>
  </conditionalFormatting>
  <conditionalFormatting sqref="M6">
    <cfRule type="cellIs" dxfId="3" priority="19" stopIfTrue="1" operator="greaterThanOrEqual">
      <formula>0.13</formula>
    </cfRule>
    <cfRule type="cellIs" dxfId="2" priority="21" operator="lessThan">
      <formula>0.13</formula>
    </cfRule>
  </conditionalFormatting>
  <conditionalFormatting sqref="M9">
    <cfRule type="cellIs" dxfId="1" priority="16" stopIfTrue="1" operator="greaterThan">
      <formula>0.13</formula>
    </cfRule>
    <cfRule type="cellIs" dxfId="0" priority="18" operator="lessThan">
      <formula>0.13</formula>
    </cfRule>
  </conditionalFormatting>
  <pageMargins left="0.23622047244094491" right="0.19685039370078741" top="0.59055118110236227" bottom="0.62992125984251968" header="0.35433070866141736" footer="0.23622047244094491"/>
  <pageSetup paperSize="9" scale="67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EC08F-EE3C-4B93-A299-0E1A0D61739B}">
  <dimension ref="A1:D19"/>
  <sheetViews>
    <sheetView workbookViewId="0">
      <selection activeCell="D6" sqref="D6"/>
    </sheetView>
  </sheetViews>
  <sheetFormatPr defaultColWidth="8.85546875" defaultRowHeight="14.45"/>
  <cols>
    <col min="1" max="1" width="3.28515625" style="229" bestFit="1" customWidth="1"/>
    <col min="2" max="2" width="12.28515625" style="229" customWidth="1"/>
    <col min="3" max="3" width="14.28515625" style="230" customWidth="1"/>
    <col min="4" max="4" width="73" style="229" customWidth="1"/>
    <col min="5" max="16384" width="8.85546875" style="229"/>
  </cols>
  <sheetData>
    <row r="1" spans="1:4">
      <c r="A1" s="231" t="s">
        <v>59</v>
      </c>
      <c r="B1" s="231" t="s">
        <v>60</v>
      </c>
      <c r="C1" s="232" t="s">
        <v>61</v>
      </c>
      <c r="D1" s="231" t="s">
        <v>62</v>
      </c>
    </row>
    <row r="2" spans="1:4">
      <c r="A2" s="233">
        <v>1</v>
      </c>
      <c r="B2" s="233" t="str">
        <f>"vs. "&amp; A2 &amp;".0"</f>
        <v>vs. 1.0</v>
      </c>
      <c r="C2" s="234">
        <v>46161</v>
      </c>
      <c r="D2" s="233" t="s">
        <v>63</v>
      </c>
    </row>
    <row r="3" spans="1:4" ht="57.6">
      <c r="A3" s="233">
        <v>2</v>
      </c>
      <c r="B3" s="233" t="str">
        <f t="shared" ref="B3:B4" si="0">"vs. "&amp; A3 &amp;".0"</f>
        <v>vs. 2.0</v>
      </c>
      <c r="C3" s="234">
        <v>46192</v>
      </c>
      <c r="D3" s="235" t="s">
        <v>64</v>
      </c>
    </row>
    <row r="4" spans="1:4" ht="28.9">
      <c r="A4" s="233">
        <v>3</v>
      </c>
      <c r="B4" s="233" t="str">
        <f t="shared" si="0"/>
        <v>vs. 3.0</v>
      </c>
      <c r="C4" s="234">
        <v>46255</v>
      </c>
      <c r="D4" s="235" t="s">
        <v>65</v>
      </c>
    </row>
    <row r="5" spans="1:4">
      <c r="A5" s="233"/>
      <c r="B5" s="233"/>
      <c r="C5" s="234"/>
      <c r="D5" s="233"/>
    </row>
    <row r="6" spans="1:4">
      <c r="A6" s="233"/>
      <c r="B6" s="233"/>
      <c r="C6" s="234"/>
      <c r="D6" s="233"/>
    </row>
    <row r="7" spans="1:4">
      <c r="A7" s="233"/>
      <c r="B7" s="233"/>
      <c r="C7" s="234"/>
      <c r="D7" s="233"/>
    </row>
    <row r="8" spans="1:4">
      <c r="A8" s="233"/>
      <c r="B8" s="233"/>
      <c r="C8" s="234"/>
      <c r="D8" s="233"/>
    </row>
    <row r="9" spans="1:4">
      <c r="A9" s="233"/>
      <c r="B9" s="233"/>
      <c r="C9" s="234"/>
      <c r="D9" s="233"/>
    </row>
    <row r="10" spans="1:4">
      <c r="A10" s="233"/>
      <c r="B10" s="233"/>
      <c r="C10" s="234"/>
      <c r="D10" s="233"/>
    </row>
    <row r="11" spans="1:4">
      <c r="A11" s="233"/>
      <c r="B11" s="233"/>
      <c r="C11" s="234"/>
      <c r="D11" s="233"/>
    </row>
    <row r="12" spans="1:4">
      <c r="A12" s="233"/>
      <c r="B12" s="233"/>
      <c r="C12" s="234"/>
      <c r="D12" s="233"/>
    </row>
    <row r="13" spans="1:4">
      <c r="A13" s="233"/>
      <c r="B13" s="233"/>
      <c r="C13" s="234"/>
      <c r="D13" s="233"/>
    </row>
    <row r="14" spans="1:4">
      <c r="A14" s="233"/>
      <c r="B14" s="233"/>
      <c r="C14" s="234"/>
      <c r="D14" s="233"/>
    </row>
    <row r="15" spans="1:4">
      <c r="A15" s="233"/>
      <c r="B15" s="233"/>
      <c r="C15" s="234"/>
      <c r="D15" s="233"/>
    </row>
    <row r="16" spans="1:4">
      <c r="A16" s="233"/>
      <c r="B16" s="233"/>
      <c r="C16" s="234"/>
      <c r="D16" s="233"/>
    </row>
    <row r="17" spans="1:4">
      <c r="A17" s="233"/>
      <c r="B17" s="233"/>
      <c r="C17" s="234"/>
      <c r="D17" s="233"/>
    </row>
    <row r="18" spans="1:4">
      <c r="A18" s="233"/>
      <c r="B18" s="233"/>
      <c r="C18" s="234"/>
      <c r="D18" s="233"/>
    </row>
    <row r="19" spans="1:4">
      <c r="A19" s="233"/>
      <c r="B19" s="233"/>
      <c r="C19" s="234"/>
      <c r="D19" s="23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97d5ca20-6ba9-44e3-9f49-1e0ff57023c2">2SAE66EUPDTM-856221752-472</_dlc_DocId>
    <_dlc_DocIdUrl xmlns="97d5ca20-6ba9-44e3-9f49-1e0ff57023c2">
      <Url>https://vlaamseoverheid.sharepoint.com/sites/vea-dossier/_layouts/15/DocIdRedir.aspx?ID=2SAE66EUPDTM-856221752-472</Url>
      <Description>2SAE66EUPDTM-856221752-472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7E198773FD5346BCBAE64F9891FCC3" ma:contentTypeVersion="3" ma:contentTypeDescription="Een nieuw document maken." ma:contentTypeScope="" ma:versionID="c6602727b39d48c03ab63c5562190e46">
  <xsd:schema xmlns:xsd="http://www.w3.org/2001/XMLSchema" xmlns:xs="http://www.w3.org/2001/XMLSchema" xmlns:p="http://schemas.microsoft.com/office/2006/metadata/properties" xmlns:ns2="97d5ca20-6ba9-44e3-9f49-1e0ff57023c2" xmlns:ns3="71120ae9-ca71-49e7-b33c-ca8c0b0cbff3" targetNamespace="http://schemas.microsoft.com/office/2006/metadata/properties" ma:root="true" ma:fieldsID="bbcb5177dfefd8c1caa4de8768458aed" ns2:_="" ns3:_="">
    <xsd:import namespace="97d5ca20-6ba9-44e3-9f49-1e0ff57023c2"/>
    <xsd:import namespace="71120ae9-ca71-49e7-b33c-ca8c0b0cbff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d5ca20-6ba9-44e3-9f49-1e0ff57023c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aarde van de document-id" ma:description="De waarde van de document-id die aan dit item is toegewezen." ma:internalName="_dlc_DocId" ma:readOnly="true">
      <xsd:simpleType>
        <xsd:restriction base="dms:Text"/>
      </xsd:simpleType>
    </xsd:element>
    <xsd:element name="_dlc_DocIdUrl" ma:index="9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blijven behouden" ma:description="Id behouden tijdens toevoegen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120ae9-ca71-49e7-b33c-ca8c0b0cbf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7F863823-284C-4DB0-98EC-B890EF3CE8C6}"/>
</file>

<file path=customXml/itemProps2.xml><?xml version="1.0" encoding="utf-8"?>
<ds:datastoreItem xmlns:ds="http://schemas.openxmlformats.org/officeDocument/2006/customXml" ds:itemID="{D3D59574-467A-4B8B-AD52-322E8558E511}"/>
</file>

<file path=customXml/itemProps3.xml><?xml version="1.0" encoding="utf-8"?>
<ds:datastoreItem xmlns:ds="http://schemas.openxmlformats.org/officeDocument/2006/customXml" ds:itemID="{EC6B4841-9C8C-4D12-B6AC-D271898897DA}"/>
</file>

<file path=customXml/itemProps4.xml><?xml version="1.0" encoding="utf-8"?>
<ds:datastoreItem xmlns:ds="http://schemas.openxmlformats.org/officeDocument/2006/customXml" ds:itemID="{A618607F-7C19-4391-8D1F-35D17F2DD5BA}"/>
</file>

<file path=docMetadata/LabelInfo.xml><?xml version="1.0" encoding="utf-8"?>
<clbl:labelList xmlns:clbl="http://schemas.microsoft.com/office/2020/mipLabelMetadata">
  <clbl:label id="{0c0338a6-9561-4ee8-b8d6-4e89cbd520a0}" enabled="0" method="" siteId="{0c0338a6-9561-4ee8-b8d6-4e89cbd520a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VITO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vekemang</dc:creator>
  <cp:keywords/>
  <dc:description/>
  <cp:lastModifiedBy/>
  <cp:revision/>
  <dcterms:created xsi:type="dcterms:W3CDTF">2001-04-09T18:49:07Z</dcterms:created>
  <dcterms:modified xsi:type="dcterms:W3CDTF">2026-08-26T12:17:57Z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0x0101004B7E198773FD5346BCBAE64F9891FCC3</vt:lpwstr>
  </property>
  <property fmtid="{D5CDD505-2E9C-101B-9397-08002B2CF9AE}" pid="3" name="MediaServiceImageTags">
    <vt:lpwstr/>
  </property>
  <property fmtid="{D5CDD505-2E9C-101B-9397-08002B2CF9AE}" pid="4" name="_dlc_DocIdItemGuid">
    <vt:lpwstr>585e51c2-3099-4e51-8e75-efbe5bd910a8</vt:lpwstr>
  </property>
</Properties>
</file>